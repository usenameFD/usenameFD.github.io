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FILER-PROFIL-W1\DEM-User-Profiles\id2374\Desktop\Projets_3A\Asset-management_deba\Yield Curve\modele_courbe_taux_M\"/>
    </mc:Choice>
  </mc:AlternateContent>
  <xr:revisionPtr revIDLastSave="0" documentId="8_{0DA445E0-7592-4D55-8D82-EB3A94733732}" xr6:coauthVersionLast="36" xr6:coauthVersionMax="36" xr10:uidLastSave="{00000000-0000-0000-0000-000000000000}"/>
  <bookViews>
    <workbookView xWindow="0" yWindow="0" windowWidth="24720" windowHeight="12225" activeTab="5" xr2:uid="{D95CC324-03AC-44B2-A01D-032DE09B39A1}"/>
  </bookViews>
  <sheets>
    <sheet name="Interpo" sheetId="1" r:id="rId1"/>
    <sheet name="ZC" sheetId="2" r:id="rId2"/>
    <sheet name="fwd" sheetId="3" r:id="rId3"/>
    <sheet name="swopt" sheetId="4" r:id="rId4"/>
    <sheet name="dicho" sheetId="5" r:id="rId5"/>
    <sheet name="HW" sheetId="6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4" l="1"/>
  <c r="E12" i="4"/>
  <c r="F12" i="4"/>
  <c r="I12" i="4"/>
  <c r="J12" i="4"/>
  <c r="H12" i="4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7" i="2"/>
  <c r="J14" i="1"/>
  <c r="J13" i="1"/>
  <c r="J17" i="1"/>
  <c r="J19" i="1"/>
  <c r="J21" i="1"/>
  <c r="J23" i="1"/>
  <c r="J25" i="1"/>
  <c r="J27" i="1"/>
  <c r="J29" i="1"/>
  <c r="J31" i="1"/>
  <c r="J33" i="1"/>
  <c r="J35" i="1"/>
  <c r="J37" i="1"/>
  <c r="J39" i="1"/>
  <c r="J41" i="1"/>
  <c r="J43" i="1"/>
  <c r="J18" i="1"/>
  <c r="J20" i="1"/>
  <c r="J22" i="1"/>
  <c r="J24" i="1"/>
  <c r="J26" i="1"/>
  <c r="J28" i="1"/>
  <c r="J30" i="1"/>
  <c r="J32" i="1"/>
  <c r="J34" i="1"/>
  <c r="J36" i="1"/>
  <c r="J38" i="1"/>
  <c r="J40" i="1"/>
  <c r="J42" i="1"/>
  <c r="J1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mousis</author>
  </authors>
  <commentList>
    <comment ref="J13" authorId="0" shapeId="0" xr:uid="{007DA10C-7DEE-4FEF-BB62-52EF3C841935}">
      <text>
        <r>
          <rPr>
            <b/>
            <sz val="8"/>
            <color indexed="81"/>
            <rFont val="Tahoma"/>
          </rPr>
          <t>SI Y1 = -1, LINEAR, SPLINE SINON</t>
        </r>
        <r>
          <rPr>
            <sz val="8"/>
            <color indexed="81"/>
            <rFont val="Tahoma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<sst xmlns="http://schemas.openxmlformats.org/spreadsheetml/2006/main" count="88" uniqueCount="24">
  <si>
    <t>MAT</t>
  </si>
  <si>
    <t>MKT</t>
  </si>
  <si>
    <t>MM</t>
  </si>
  <si>
    <t>FUT</t>
  </si>
  <si>
    <t>SWAP</t>
  </si>
  <si>
    <t>Strike en bps et en rel. / fwd</t>
  </si>
  <si>
    <t>Vols Caplets</t>
  </si>
  <si>
    <t>Vols Swaptions</t>
  </si>
  <si>
    <t>y1</t>
  </si>
  <si>
    <t>yn</t>
  </si>
  <si>
    <t>Interp</t>
  </si>
  <si>
    <t>Cot SHIFT</t>
  </si>
  <si>
    <t>ZC SHIFT</t>
  </si>
  <si>
    <t>B(0,T)</t>
  </si>
  <si>
    <t>FWD LINEAR</t>
  </si>
  <si>
    <t>FWD SPLINE</t>
  </si>
  <si>
    <t>Strike</t>
  </si>
  <si>
    <t>Prix</t>
  </si>
  <si>
    <t>Krel</t>
  </si>
  <si>
    <t>MKT Vol</t>
  </si>
  <si>
    <t>K</t>
  </si>
  <si>
    <t>MKT Price</t>
  </si>
  <si>
    <t>HW Price</t>
  </si>
  <si>
    <t>MODEL Vol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</si>
</sst>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%"/>
    <numFmt numFmtId="165" formatCode="0.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14"/>
      <name val="Arial"/>
      <family val="2"/>
    </font>
    <font>
      <b/>
      <sz val="10"/>
      <color indexed="48"/>
      <name val="Arial"/>
      <family val="2"/>
    </font>
    <font>
      <b/>
      <sz val="10"/>
      <color indexed="57"/>
      <name val="Arial"/>
      <family val="2"/>
    </font>
    <font>
      <b/>
      <sz val="8"/>
      <color indexed="81"/>
      <name val="Tahoma"/>
    </font>
    <font>
      <sz val="8"/>
      <color indexed="81"/>
      <name val="Tahoma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horizontal="center"/>
    </xf>
    <xf numFmtId="0" fontId="4" fillId="2" borderId="0" xfId="0" applyFont="1" applyFill="1"/>
    <xf numFmtId="2" fontId="3" fillId="2" borderId="0" xfId="0" applyNumberFormat="1" applyFont="1" applyFill="1" applyAlignment="1">
      <alignment horizontal="center"/>
    </xf>
    <xf numFmtId="164" fontId="1" fillId="2" borderId="0" xfId="1" applyNumberFormat="1" applyFill="1" applyAlignment="1">
      <alignment horizontal="center"/>
    </xf>
    <xf numFmtId="0" fontId="5" fillId="2" borderId="0" xfId="0" applyFont="1" applyFill="1"/>
    <xf numFmtId="0" fontId="6" fillId="2" borderId="0" xfId="0" applyFont="1" applyFill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165" fontId="0" fillId="0" borderId="1" xfId="1" applyNumberFormat="1" applyFont="1" applyBorder="1" applyAlignment="1">
      <alignment horizontal="center"/>
    </xf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10" fontId="1" fillId="0" borderId="0" xfId="1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0" fontId="2" fillId="0" borderId="0" xfId="0" applyFont="1"/>
    <xf numFmtId="164" fontId="0" fillId="0" borderId="0" xfId="1" applyNumberFormat="1" applyFont="1"/>
    <xf numFmtId="10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fwd!$E$8</c:f>
              <c:strCache>
                <c:ptCount val="1"/>
                <c:pt idx="0">
                  <c:v>FWD LINEAR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fwd!$D$9:$D$208</c:f>
              <c:numCache>
                <c:formatCode>General</c:formatCode>
                <c:ptCount val="20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</c:numCache>
            </c:numRef>
          </c:xVal>
          <c:yVal>
            <c:numRef>
              <c:f>fwd!$E$9:$E$208</c:f>
              <c:numCache>
                <c:formatCode>0.0000%</c:formatCode>
                <c:ptCount val="200"/>
                <c:pt idx="0">
                  <c:v>2.8125669416972698E-2</c:v>
                </c:pt>
                <c:pt idx="1">
                  <c:v>2.4087192997557239E-2</c:v>
                </c:pt>
                <c:pt idx="2">
                  <c:v>2.0696033555942073E-2</c:v>
                </c:pt>
                <c:pt idx="3">
                  <c:v>1.9600582436869018E-2</c:v>
                </c:pt>
                <c:pt idx="4">
                  <c:v>1.9239613355805041E-2</c:v>
                </c:pt>
                <c:pt idx="5">
                  <c:v>1.9117835436673225E-2</c:v>
                </c:pt>
                <c:pt idx="6">
                  <c:v>1.9397862682848377E-2</c:v>
                </c:pt>
                <c:pt idx="7">
                  <c:v>1.9894689469763804E-2</c:v>
                </c:pt>
                <c:pt idx="8">
                  <c:v>2.0483731740477573E-2</c:v>
                </c:pt>
                <c:pt idx="9">
                  <c:v>2.1308615206045545E-2</c:v>
                </c:pt>
                <c:pt idx="10">
                  <c:v>2.1859935928069341E-2</c:v>
                </c:pt>
                <c:pt idx="11">
                  <c:v>2.2527994489968783E-2</c:v>
                </c:pt>
                <c:pt idx="12">
                  <c:v>2.3283183276316066E-2</c:v>
                </c:pt>
                <c:pt idx="13">
                  <c:v>2.4105690245412426E-2</c:v>
                </c:pt>
                <c:pt idx="14">
                  <c:v>2.5018613163129366E-2</c:v>
                </c:pt>
                <c:pt idx="15">
                  <c:v>2.5805619098064447E-2</c:v>
                </c:pt>
                <c:pt idx="16">
                  <c:v>2.6647464904047347E-2</c:v>
                </c:pt>
                <c:pt idx="17">
                  <c:v>2.7458635030997769E-2</c:v>
                </c:pt>
                <c:pt idx="18">
                  <c:v>2.822158534145558E-2</c:v>
                </c:pt>
                <c:pt idx="19">
                  <c:v>2.9016026659476779E-2</c:v>
                </c:pt>
                <c:pt idx="20">
                  <c:v>2.9524503965372872E-2</c:v>
                </c:pt>
                <c:pt idx="21">
                  <c:v>3.0034042993213994E-2</c:v>
                </c:pt>
                <c:pt idx="22">
                  <c:v>3.0543814878526199E-2</c:v>
                </c:pt>
                <c:pt idx="23">
                  <c:v>3.1053648754251206E-2</c:v>
                </c:pt>
                <c:pt idx="24">
                  <c:v>3.156431710147789E-2</c:v>
                </c:pt>
                <c:pt idx="25">
                  <c:v>3.20794284358632E-2</c:v>
                </c:pt>
                <c:pt idx="26">
                  <c:v>3.2595561445114996E-2</c:v>
                </c:pt>
                <c:pt idx="27">
                  <c:v>3.2813365038260045E-2</c:v>
                </c:pt>
                <c:pt idx="28">
                  <c:v>3.2703289490964238E-2</c:v>
                </c:pt>
                <c:pt idx="29">
                  <c:v>3.2554839031917027E-2</c:v>
                </c:pt>
                <c:pt idx="30">
                  <c:v>3.2962889086722846E-2</c:v>
                </c:pt>
                <c:pt idx="31">
                  <c:v>3.3370980431691066E-2</c:v>
                </c:pt>
                <c:pt idx="32">
                  <c:v>3.3779113071000566E-2</c:v>
                </c:pt>
                <c:pt idx="33">
                  <c:v>3.4187287008831113E-2</c:v>
                </c:pt>
                <c:pt idx="34">
                  <c:v>3.4595502249358923E-2</c:v>
                </c:pt>
                <c:pt idx="35">
                  <c:v>3.5003758796765538E-2</c:v>
                </c:pt>
                <c:pt idx="36">
                  <c:v>3.541205665522984E-2</c:v>
                </c:pt>
                <c:pt idx="37">
                  <c:v>3.5466862003565858E-2</c:v>
                </c:pt>
                <c:pt idx="38">
                  <c:v>3.5141975918638657E-2</c:v>
                </c:pt>
                <c:pt idx="39">
                  <c:v>3.4782206370611135E-2</c:v>
                </c:pt>
                <c:pt idx="40">
                  <c:v>3.5103200253488787E-2</c:v>
                </c:pt>
                <c:pt idx="41">
                  <c:v>3.5424219673574342E-2</c:v>
                </c:pt>
                <c:pt idx="42">
                  <c:v>3.5745264632899065E-2</c:v>
                </c:pt>
                <c:pt idx="43">
                  <c:v>3.6066335133495997E-2</c:v>
                </c:pt>
                <c:pt idx="44">
                  <c:v>3.6387431177396401E-2</c:v>
                </c:pt>
                <c:pt idx="45">
                  <c:v>3.670855276663243E-2</c:v>
                </c:pt>
                <c:pt idx="46">
                  <c:v>3.7029699903236235E-2</c:v>
                </c:pt>
                <c:pt idx="47">
                  <c:v>3.7228919766524982E-2</c:v>
                </c:pt>
                <c:pt idx="48">
                  <c:v>3.7298949559100514E-2</c:v>
                </c:pt>
                <c:pt idx="49">
                  <c:v>3.735932075922932E-2</c:v>
                </c:pt>
                <c:pt idx="50">
                  <c:v>3.7656368330681644E-2</c:v>
                </c:pt>
                <c:pt idx="51">
                  <c:v>3.7953437757326292E-2</c:v>
                </c:pt>
                <c:pt idx="52">
                  <c:v>3.8250529040769088E-2</c:v>
                </c:pt>
                <c:pt idx="53">
                  <c:v>3.8547642182620301E-2</c:v>
                </c:pt>
                <c:pt idx="54">
                  <c:v>3.8844777184485757E-2</c:v>
                </c:pt>
                <c:pt idx="55">
                  <c:v>3.9141934047975724E-2</c:v>
                </c:pt>
                <c:pt idx="56">
                  <c:v>3.9439112774697804E-2</c:v>
                </c:pt>
                <c:pt idx="57">
                  <c:v>3.9475607838997284E-2</c:v>
                </c:pt>
                <c:pt idx="58">
                  <c:v>3.923848578371647E-2</c:v>
                </c:pt>
                <c:pt idx="59">
                  <c:v>3.8984143535187421E-2</c:v>
                </c:pt>
                <c:pt idx="60">
                  <c:v>3.9238222522781641E-2</c:v>
                </c:pt>
                <c:pt idx="61">
                  <c:v>3.9492317493635021E-2</c:v>
                </c:pt>
                <c:pt idx="62">
                  <c:v>3.974642844875298E-2</c:v>
                </c:pt>
                <c:pt idx="63">
                  <c:v>4.0000555389141823E-2</c:v>
                </c:pt>
                <c:pt idx="64">
                  <c:v>4.0254698315806969E-2</c:v>
                </c:pt>
                <c:pt idx="65">
                  <c:v>4.0508857229753836E-2</c:v>
                </c:pt>
                <c:pt idx="66">
                  <c:v>4.0763032131987842E-2</c:v>
                </c:pt>
                <c:pt idx="67">
                  <c:v>4.0835373091066884E-2</c:v>
                </c:pt>
                <c:pt idx="68">
                  <c:v>4.0718132436984078E-2</c:v>
                </c:pt>
                <c:pt idx="69">
                  <c:v>4.0590578301876512E-2</c:v>
                </c:pt>
                <c:pt idx="70">
                  <c:v>4.081896463106105E-2</c:v>
                </c:pt>
                <c:pt idx="71">
                  <c:v>4.1047363869326503E-2</c:v>
                </c:pt>
                <c:pt idx="72">
                  <c:v>4.1275776017404731E-2</c:v>
                </c:pt>
                <c:pt idx="73">
                  <c:v>4.1504201076024039E-2</c:v>
                </c:pt>
                <c:pt idx="74">
                  <c:v>4.1732639045913622E-2</c:v>
                </c:pt>
                <c:pt idx="75">
                  <c:v>4.1961089927804451E-2</c:v>
                </c:pt>
                <c:pt idx="76">
                  <c:v>4.2189553722426609E-2</c:v>
                </c:pt>
                <c:pt idx="77">
                  <c:v>4.2333843134430005E-2</c:v>
                </c:pt>
                <c:pt idx="78">
                  <c:v>4.2390811721573662E-2</c:v>
                </c:pt>
                <c:pt idx="79">
                  <c:v>4.2443597819709744E-2</c:v>
                </c:pt>
                <c:pt idx="80">
                  <c:v>4.2661630085278013E-2</c:v>
                </c:pt>
                <c:pt idx="81">
                  <c:v>4.2879674110583466E-2</c:v>
                </c:pt>
                <c:pt idx="82">
                  <c:v>4.3097729896257597E-2</c:v>
                </c:pt>
                <c:pt idx="83">
                  <c:v>4.3315797442936343E-2</c:v>
                </c:pt>
                <c:pt idx="84">
                  <c:v>4.3533876751253864E-2</c:v>
                </c:pt>
                <c:pt idx="85">
                  <c:v>4.3751967821845206E-2</c:v>
                </c:pt>
                <c:pt idx="86">
                  <c:v>4.397007065534364E-2</c:v>
                </c:pt>
                <c:pt idx="87">
                  <c:v>4.4070120396329848E-2</c:v>
                </c:pt>
                <c:pt idx="88">
                  <c:v>4.404819460671483E-2</c:v>
                </c:pt>
                <c:pt idx="89">
                  <c:v>4.4021050735917555E-2</c:v>
                </c:pt>
                <c:pt idx="90">
                  <c:v>4.4226121908305771E-2</c:v>
                </c:pt>
                <c:pt idx="91">
                  <c:v>4.4431203479796899E-2</c:v>
                </c:pt>
                <c:pt idx="92">
                  <c:v>4.4636295450914965E-2</c:v>
                </c:pt>
                <c:pt idx="93">
                  <c:v>4.484139782219021E-2</c:v>
                </c:pt>
                <c:pt idx="94">
                  <c:v>4.5046510594149325E-2</c:v>
                </c:pt>
                <c:pt idx="95">
                  <c:v>4.5251633767318999E-2</c:v>
                </c:pt>
                <c:pt idx="96">
                  <c:v>4.5456767342226811E-2</c:v>
                </c:pt>
                <c:pt idx="97">
                  <c:v>4.5604129248437708E-2</c:v>
                </c:pt>
                <c:pt idx="98">
                  <c:v>4.5691988308618647E-2</c:v>
                </c:pt>
                <c:pt idx="99">
                  <c:v>4.5777549410116691E-2</c:v>
                </c:pt>
                <c:pt idx="100">
                  <c:v>4.5976959701386377E-2</c:v>
                </c:pt>
                <c:pt idx="101">
                  <c:v>4.6176379821289082E-2</c:v>
                </c:pt>
                <c:pt idx="102">
                  <c:v>4.637580977030975E-2</c:v>
                </c:pt>
                <c:pt idx="103">
                  <c:v>4.6575249548933328E-2</c:v>
                </c:pt>
                <c:pt idx="104">
                  <c:v>4.6774699157642985E-2</c:v>
                </c:pt>
                <c:pt idx="105">
                  <c:v>4.6974158596923665E-2</c:v>
                </c:pt>
                <c:pt idx="106">
                  <c:v>4.7173627867261203E-2</c:v>
                </c:pt>
                <c:pt idx="107">
                  <c:v>4.7212318854639612E-2</c:v>
                </c:pt>
                <c:pt idx="108">
                  <c:v>4.7085861880461266E-2</c:v>
                </c:pt>
                <c:pt idx="109">
                  <c:v>4.6953588956756498E-2</c:v>
                </c:pt>
                <c:pt idx="110">
                  <c:v>4.7138506780908251E-2</c:v>
                </c:pt>
                <c:pt idx="111">
                  <c:v>4.7323433054526909E-2</c:v>
                </c:pt>
                <c:pt idx="112">
                  <c:v>4.7508367777998828E-2</c:v>
                </c:pt>
                <c:pt idx="113">
                  <c:v>4.7693310951709478E-2</c:v>
                </c:pt>
                <c:pt idx="114">
                  <c:v>4.7878262576046104E-2</c:v>
                </c:pt>
                <c:pt idx="115">
                  <c:v>4.8063222651394177E-2</c:v>
                </c:pt>
                <c:pt idx="116">
                  <c:v>4.8248191178140942E-2</c:v>
                </c:pt>
                <c:pt idx="117">
                  <c:v>4.8053320054351367E-2</c:v>
                </c:pt>
                <c:pt idx="118">
                  <c:v>4.7469209129369361E-2</c:v>
                </c:pt>
                <c:pt idx="119">
                  <c:v>4.6872577672190552E-2</c:v>
                </c:pt>
                <c:pt idx="120">
                  <c:v>4.7025978486421316E-2</c:v>
                </c:pt>
                <c:pt idx="121">
                  <c:v>4.7179385115466488E-2</c:v>
                </c:pt>
                <c:pt idx="122">
                  <c:v>4.7332797559545448E-2</c:v>
                </c:pt>
                <c:pt idx="123">
                  <c:v>4.7486215818878463E-2</c:v>
                </c:pt>
                <c:pt idx="124">
                  <c:v>4.7639639893685803E-2</c:v>
                </c:pt>
                <c:pt idx="125">
                  <c:v>4.7793069784189512E-2</c:v>
                </c:pt>
                <c:pt idx="126">
                  <c:v>4.794650549060897E-2</c:v>
                </c:pt>
                <c:pt idx="127">
                  <c:v>4.7706610218448908E-2</c:v>
                </c:pt>
                <c:pt idx="128">
                  <c:v>4.7064413534291027E-2</c:v>
                </c:pt>
                <c:pt idx="129">
                  <c:v>4.6410266867702887E-2</c:v>
                </c:pt>
                <c:pt idx="130">
                  <c:v>4.6533519494067477E-2</c:v>
                </c:pt>
                <c:pt idx="131">
                  <c:v>4.6656775874676981E-2</c:v>
                </c:pt>
                <c:pt idx="132">
                  <c:v>4.6780036009643311E-2</c:v>
                </c:pt>
                <c:pt idx="133">
                  <c:v>4.6903299899081929E-2</c:v>
                </c:pt>
                <c:pt idx="134">
                  <c:v>4.7026567543106523E-2</c:v>
                </c:pt>
                <c:pt idx="135">
                  <c:v>4.7149838941834332E-2</c:v>
                </c:pt>
                <c:pt idx="136">
                  <c:v>4.727311409537549E-2</c:v>
                </c:pt>
                <c:pt idx="137">
                  <c:v>4.7031326595390333E-2</c:v>
                </c:pt>
                <c:pt idx="138">
                  <c:v>4.6416748382605455E-2</c:v>
                </c:pt>
                <c:pt idx="139">
                  <c:v>4.5791873787708326E-2</c:v>
                </c:pt>
                <c:pt idx="140">
                  <c:v>4.5889132625146267E-2</c:v>
                </c:pt>
                <c:pt idx="141">
                  <c:v>4.5986393800638403E-2</c:v>
                </c:pt>
                <c:pt idx="142">
                  <c:v>4.6083657314241577E-2</c:v>
                </c:pt>
                <c:pt idx="143">
                  <c:v>4.6180923166010857E-2</c:v>
                </c:pt>
                <c:pt idx="144">
                  <c:v>4.6278191356003084E-2</c:v>
                </c:pt>
                <c:pt idx="145">
                  <c:v>4.6375461884275992E-2</c:v>
                </c:pt>
                <c:pt idx="146">
                  <c:v>4.6472734750882871E-2</c:v>
                </c:pt>
                <c:pt idx="147">
                  <c:v>4.621061450718944E-2</c:v>
                </c:pt>
                <c:pt idx="148">
                  <c:v>4.5582008388452167E-2</c:v>
                </c:pt>
                <c:pt idx="149">
                  <c:v>4.4943951292463424E-2</c:v>
                </c:pt>
                <c:pt idx="150">
                  <c:v>4.5017317682384039E-2</c:v>
                </c:pt>
                <c:pt idx="151">
                  <c:v>4.5090685403010866E-2</c:v>
                </c:pt>
                <c:pt idx="152">
                  <c:v>4.5164054454366109E-2</c:v>
                </c:pt>
                <c:pt idx="153">
                  <c:v>4.5237424836475526E-2</c:v>
                </c:pt>
                <c:pt idx="154">
                  <c:v>4.5310796549362209E-2</c:v>
                </c:pt>
                <c:pt idx="155">
                  <c:v>4.5384169593050139E-2</c:v>
                </c:pt>
                <c:pt idx="156">
                  <c:v>4.5457543967563296E-2</c:v>
                </c:pt>
                <c:pt idx="157">
                  <c:v>4.5157139580397576E-2</c:v>
                </c:pt>
                <c:pt idx="158">
                  <c:v>4.4476054645206986E-2</c:v>
                </c:pt>
                <c:pt idx="159">
                  <c:v>4.3785772570418047E-2</c:v>
                </c:pt>
                <c:pt idx="160">
                  <c:v>4.3835838089660406E-2</c:v>
                </c:pt>
                <c:pt idx="161">
                  <c:v>4.3885904228757155E-2</c:v>
                </c:pt>
                <c:pt idx="162">
                  <c:v>4.3935970987713624E-2</c:v>
                </c:pt>
                <c:pt idx="163">
                  <c:v>4.3986038366539582E-2</c:v>
                </c:pt>
                <c:pt idx="164">
                  <c:v>4.403610636524391E-2</c:v>
                </c:pt>
                <c:pt idx="165">
                  <c:v>4.4086174983832827E-2</c:v>
                </c:pt>
                <c:pt idx="166">
                  <c:v>4.4136244222312548E-2</c:v>
                </c:pt>
                <c:pt idx="167">
                  <c:v>4.3795428362894739E-2</c:v>
                </c:pt>
                <c:pt idx="168">
                  <c:v>4.3056950054471521E-2</c:v>
                </c:pt>
                <c:pt idx="169">
                  <c:v>4.230944007009807E-2</c:v>
                </c:pt>
                <c:pt idx="170">
                  <c:v>4.2336570775976412E-2</c:v>
                </c:pt>
                <c:pt idx="171">
                  <c:v>4.2363701663945541E-2</c:v>
                </c:pt>
                <c:pt idx="172">
                  <c:v>4.2390832734010786E-2</c:v>
                </c:pt>
                <c:pt idx="173">
                  <c:v>4.2417963986170371E-2</c:v>
                </c:pt>
                <c:pt idx="174">
                  <c:v>4.2445095420426071E-2</c:v>
                </c:pt>
                <c:pt idx="175">
                  <c:v>4.2472227036780552E-2</c:v>
                </c:pt>
                <c:pt idx="176">
                  <c:v>4.2499358835232037E-2</c:v>
                </c:pt>
                <c:pt idx="177">
                  <c:v>4.2121465674500591E-2</c:v>
                </c:pt>
                <c:pt idx="178">
                  <c:v>4.1331931062522642E-2</c:v>
                </c:pt>
                <c:pt idx="179">
                  <c:v>4.053357900686283E-2</c:v>
                </c:pt>
                <c:pt idx="180">
                  <c:v>4.0538268577980929E-2</c:v>
                </c:pt>
                <c:pt idx="181">
                  <c:v>4.0542958154541786E-2</c:v>
                </c:pt>
                <c:pt idx="182">
                  <c:v>4.05476477365454E-2</c:v>
                </c:pt>
                <c:pt idx="183">
                  <c:v>4.0552337323991772E-2</c:v>
                </c:pt>
                <c:pt idx="184">
                  <c:v>4.0557026916880901E-2</c:v>
                </c:pt>
                <c:pt idx="185">
                  <c:v>4.0561716515213675E-2</c:v>
                </c:pt>
                <c:pt idx="186">
                  <c:v>4.0566406118988318E-2</c:v>
                </c:pt>
                <c:pt idx="187">
                  <c:v>4.0155648792573828E-2</c:v>
                </c:pt>
                <c:pt idx="188">
                  <c:v>3.9323030440403528E-2</c:v>
                </c:pt>
                <c:pt idx="189">
                  <c:v>3.8481864436568536E-2</c:v>
                </c:pt>
                <c:pt idx="190">
                  <c:v>3.8464753577435395E-2</c:v>
                </c:pt>
                <c:pt idx="191">
                  <c:v>3.8447642790798042E-2</c:v>
                </c:pt>
                <c:pt idx="192">
                  <c:v>3.8430532076660029E-2</c:v>
                </c:pt>
                <c:pt idx="193">
                  <c:v>3.8413421435017803E-2</c:v>
                </c:pt>
                <c:pt idx="194">
                  <c:v>3.8396310865874028E-2</c:v>
                </c:pt>
                <c:pt idx="195">
                  <c:v>3.8379200369226041E-2</c:v>
                </c:pt>
                <c:pt idx="196">
                  <c:v>3.8362089945074729E-2</c:v>
                </c:pt>
                <c:pt idx="197">
                  <c:v>3.7932505795243543E-2</c:v>
                </c:pt>
                <c:pt idx="198">
                  <c:v>3.7084409476056734E-2</c:v>
                </c:pt>
                <c:pt idx="199">
                  <c:v>3.6228266265573517E-2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6D-4131-A5CF-833557447896}"/>
            </c:ext>
          </c:extLst>
        </c:ser>
        <c:ser>
          <c:idx val="1"/>
          <c:order val="1"/>
          <c:tx>
            <c:strRef>
              <c:f>fwd!$F$8</c:f>
              <c:strCache>
                <c:ptCount val="1"/>
                <c:pt idx="0">
                  <c:v>FWD SPLINE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fwd!$D$9:$D$208</c:f>
              <c:numCache>
                <c:formatCode>General</c:formatCode>
                <c:ptCount val="20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4.7</c:v>
                </c:pt>
                <c:pt idx="47">
                  <c:v>4.8</c:v>
                </c:pt>
                <c:pt idx="48">
                  <c:v>4.9000000000000004</c:v>
                </c:pt>
                <c:pt idx="49">
                  <c:v>5</c:v>
                </c:pt>
                <c:pt idx="50">
                  <c:v>5.0999999999999996</c:v>
                </c:pt>
                <c:pt idx="51">
                  <c:v>5.2</c:v>
                </c:pt>
                <c:pt idx="52">
                  <c:v>5.3</c:v>
                </c:pt>
                <c:pt idx="53">
                  <c:v>5.4</c:v>
                </c:pt>
                <c:pt idx="54">
                  <c:v>5.5</c:v>
                </c:pt>
                <c:pt idx="55">
                  <c:v>5.6</c:v>
                </c:pt>
                <c:pt idx="56">
                  <c:v>5.7</c:v>
                </c:pt>
                <c:pt idx="57">
                  <c:v>5.8</c:v>
                </c:pt>
                <c:pt idx="58">
                  <c:v>5.9</c:v>
                </c:pt>
                <c:pt idx="59">
                  <c:v>6</c:v>
                </c:pt>
                <c:pt idx="60">
                  <c:v>6.1</c:v>
                </c:pt>
                <c:pt idx="61">
                  <c:v>6.2</c:v>
                </c:pt>
                <c:pt idx="62">
                  <c:v>6.3</c:v>
                </c:pt>
                <c:pt idx="63">
                  <c:v>6.4</c:v>
                </c:pt>
                <c:pt idx="64">
                  <c:v>6.5</c:v>
                </c:pt>
                <c:pt idx="65">
                  <c:v>6.6</c:v>
                </c:pt>
                <c:pt idx="66">
                  <c:v>6.7</c:v>
                </c:pt>
                <c:pt idx="67">
                  <c:v>6.8</c:v>
                </c:pt>
                <c:pt idx="68">
                  <c:v>6.9</c:v>
                </c:pt>
                <c:pt idx="69">
                  <c:v>7</c:v>
                </c:pt>
                <c:pt idx="70">
                  <c:v>7.1</c:v>
                </c:pt>
                <c:pt idx="71">
                  <c:v>7.2</c:v>
                </c:pt>
                <c:pt idx="72">
                  <c:v>7.3</c:v>
                </c:pt>
                <c:pt idx="73">
                  <c:v>7.4</c:v>
                </c:pt>
                <c:pt idx="74">
                  <c:v>7.5</c:v>
                </c:pt>
                <c:pt idx="75">
                  <c:v>7.6</c:v>
                </c:pt>
                <c:pt idx="76">
                  <c:v>7.7</c:v>
                </c:pt>
                <c:pt idx="77">
                  <c:v>7.8</c:v>
                </c:pt>
                <c:pt idx="78">
                  <c:v>7.9</c:v>
                </c:pt>
                <c:pt idx="79">
                  <c:v>8</c:v>
                </c:pt>
                <c:pt idx="80">
                  <c:v>8.1</c:v>
                </c:pt>
                <c:pt idx="81">
                  <c:v>8.1999999999999993</c:v>
                </c:pt>
                <c:pt idx="82">
                  <c:v>8.3000000000000007</c:v>
                </c:pt>
                <c:pt idx="83">
                  <c:v>8.4</c:v>
                </c:pt>
                <c:pt idx="84">
                  <c:v>8.5</c:v>
                </c:pt>
                <c:pt idx="85">
                  <c:v>8.6</c:v>
                </c:pt>
                <c:pt idx="86">
                  <c:v>8.6999999999999993</c:v>
                </c:pt>
                <c:pt idx="87">
                  <c:v>8.8000000000000007</c:v>
                </c:pt>
                <c:pt idx="88">
                  <c:v>8.9</c:v>
                </c:pt>
                <c:pt idx="89">
                  <c:v>9</c:v>
                </c:pt>
                <c:pt idx="90">
                  <c:v>9.1</c:v>
                </c:pt>
                <c:pt idx="91">
                  <c:v>9.1999999999999993</c:v>
                </c:pt>
                <c:pt idx="92">
                  <c:v>9.3000000000000007</c:v>
                </c:pt>
                <c:pt idx="93">
                  <c:v>9.4</c:v>
                </c:pt>
                <c:pt idx="94">
                  <c:v>9.5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9.8000000000000007</c:v>
                </c:pt>
                <c:pt idx="98">
                  <c:v>9.9</c:v>
                </c:pt>
                <c:pt idx="99">
                  <c:v>10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10.3</c:v>
                </c:pt>
                <c:pt idx="103">
                  <c:v>10.4</c:v>
                </c:pt>
                <c:pt idx="104">
                  <c:v>10.5</c:v>
                </c:pt>
                <c:pt idx="105">
                  <c:v>10.6</c:v>
                </c:pt>
                <c:pt idx="106">
                  <c:v>10.7</c:v>
                </c:pt>
                <c:pt idx="107">
                  <c:v>10.8</c:v>
                </c:pt>
                <c:pt idx="108">
                  <c:v>10.9</c:v>
                </c:pt>
                <c:pt idx="109">
                  <c:v>11</c:v>
                </c:pt>
                <c:pt idx="110">
                  <c:v>11.1</c:v>
                </c:pt>
                <c:pt idx="111">
                  <c:v>11.2</c:v>
                </c:pt>
                <c:pt idx="112">
                  <c:v>11.3</c:v>
                </c:pt>
                <c:pt idx="113">
                  <c:v>11.4</c:v>
                </c:pt>
                <c:pt idx="114">
                  <c:v>11.5</c:v>
                </c:pt>
                <c:pt idx="115">
                  <c:v>11.6</c:v>
                </c:pt>
                <c:pt idx="116">
                  <c:v>11.7</c:v>
                </c:pt>
                <c:pt idx="117">
                  <c:v>11.8</c:v>
                </c:pt>
                <c:pt idx="118">
                  <c:v>11.9</c:v>
                </c:pt>
                <c:pt idx="119">
                  <c:v>12</c:v>
                </c:pt>
                <c:pt idx="120">
                  <c:v>12.1</c:v>
                </c:pt>
                <c:pt idx="121">
                  <c:v>12.2</c:v>
                </c:pt>
                <c:pt idx="122">
                  <c:v>12.3</c:v>
                </c:pt>
                <c:pt idx="123">
                  <c:v>12.4</c:v>
                </c:pt>
                <c:pt idx="124">
                  <c:v>12.5</c:v>
                </c:pt>
                <c:pt idx="125">
                  <c:v>12.6</c:v>
                </c:pt>
                <c:pt idx="126">
                  <c:v>12.7</c:v>
                </c:pt>
                <c:pt idx="127">
                  <c:v>12.8</c:v>
                </c:pt>
                <c:pt idx="128">
                  <c:v>12.9</c:v>
                </c:pt>
                <c:pt idx="129">
                  <c:v>13</c:v>
                </c:pt>
                <c:pt idx="130">
                  <c:v>13.1</c:v>
                </c:pt>
                <c:pt idx="131">
                  <c:v>13.2</c:v>
                </c:pt>
                <c:pt idx="132">
                  <c:v>13.3</c:v>
                </c:pt>
                <c:pt idx="133">
                  <c:v>13.4</c:v>
                </c:pt>
                <c:pt idx="134">
                  <c:v>13.5</c:v>
                </c:pt>
                <c:pt idx="135">
                  <c:v>13.6</c:v>
                </c:pt>
                <c:pt idx="136">
                  <c:v>13.7</c:v>
                </c:pt>
                <c:pt idx="137">
                  <c:v>13.8</c:v>
                </c:pt>
                <c:pt idx="138">
                  <c:v>13.9</c:v>
                </c:pt>
                <c:pt idx="139">
                  <c:v>14</c:v>
                </c:pt>
                <c:pt idx="140">
                  <c:v>14.1</c:v>
                </c:pt>
                <c:pt idx="141">
                  <c:v>14.2</c:v>
                </c:pt>
                <c:pt idx="142">
                  <c:v>14.3</c:v>
                </c:pt>
                <c:pt idx="143">
                  <c:v>14.4</c:v>
                </c:pt>
                <c:pt idx="144">
                  <c:v>14.5</c:v>
                </c:pt>
                <c:pt idx="145">
                  <c:v>14.6</c:v>
                </c:pt>
                <c:pt idx="146">
                  <c:v>14.7</c:v>
                </c:pt>
                <c:pt idx="147">
                  <c:v>14.8</c:v>
                </c:pt>
                <c:pt idx="148">
                  <c:v>14.9</c:v>
                </c:pt>
                <c:pt idx="149">
                  <c:v>15</c:v>
                </c:pt>
                <c:pt idx="150">
                  <c:v>15.1</c:v>
                </c:pt>
                <c:pt idx="151">
                  <c:v>15.2</c:v>
                </c:pt>
                <c:pt idx="152">
                  <c:v>15.3</c:v>
                </c:pt>
                <c:pt idx="153">
                  <c:v>15.4</c:v>
                </c:pt>
                <c:pt idx="154">
                  <c:v>15.5</c:v>
                </c:pt>
                <c:pt idx="155">
                  <c:v>15.6</c:v>
                </c:pt>
                <c:pt idx="156">
                  <c:v>15.7</c:v>
                </c:pt>
                <c:pt idx="157">
                  <c:v>15.8</c:v>
                </c:pt>
                <c:pt idx="158">
                  <c:v>15.9</c:v>
                </c:pt>
                <c:pt idx="159">
                  <c:v>16</c:v>
                </c:pt>
                <c:pt idx="160">
                  <c:v>16.100000000000001</c:v>
                </c:pt>
                <c:pt idx="161">
                  <c:v>16.2</c:v>
                </c:pt>
                <c:pt idx="162">
                  <c:v>16.3</c:v>
                </c:pt>
                <c:pt idx="163">
                  <c:v>16.399999999999999</c:v>
                </c:pt>
                <c:pt idx="164">
                  <c:v>16.5</c:v>
                </c:pt>
                <c:pt idx="165">
                  <c:v>16.600000000000001</c:v>
                </c:pt>
                <c:pt idx="166">
                  <c:v>16.7</c:v>
                </c:pt>
                <c:pt idx="167">
                  <c:v>16.8</c:v>
                </c:pt>
                <c:pt idx="168">
                  <c:v>16.899999999999999</c:v>
                </c:pt>
                <c:pt idx="169">
                  <c:v>17</c:v>
                </c:pt>
                <c:pt idx="170">
                  <c:v>17.100000000000001</c:v>
                </c:pt>
                <c:pt idx="171">
                  <c:v>17.2</c:v>
                </c:pt>
                <c:pt idx="172">
                  <c:v>17.3</c:v>
                </c:pt>
                <c:pt idx="173">
                  <c:v>17.399999999999999</c:v>
                </c:pt>
                <c:pt idx="174">
                  <c:v>17.5</c:v>
                </c:pt>
                <c:pt idx="175">
                  <c:v>17.600000000000001</c:v>
                </c:pt>
                <c:pt idx="176">
                  <c:v>17.7</c:v>
                </c:pt>
                <c:pt idx="177">
                  <c:v>17.8</c:v>
                </c:pt>
                <c:pt idx="178">
                  <c:v>17.899999999999999</c:v>
                </c:pt>
                <c:pt idx="179">
                  <c:v>18</c:v>
                </c:pt>
                <c:pt idx="180">
                  <c:v>18.100000000000001</c:v>
                </c:pt>
                <c:pt idx="181">
                  <c:v>18.2</c:v>
                </c:pt>
                <c:pt idx="182">
                  <c:v>18.3</c:v>
                </c:pt>
                <c:pt idx="183">
                  <c:v>18.399999999999999</c:v>
                </c:pt>
                <c:pt idx="184">
                  <c:v>18.5</c:v>
                </c:pt>
                <c:pt idx="185">
                  <c:v>18.600000000000001</c:v>
                </c:pt>
                <c:pt idx="186">
                  <c:v>18.7</c:v>
                </c:pt>
                <c:pt idx="187">
                  <c:v>18.8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19.3</c:v>
                </c:pt>
                <c:pt idx="193">
                  <c:v>19.399999999999999</c:v>
                </c:pt>
                <c:pt idx="194">
                  <c:v>19.5</c:v>
                </c:pt>
                <c:pt idx="195">
                  <c:v>19.600000000000001</c:v>
                </c:pt>
                <c:pt idx="196">
                  <c:v>19.7</c:v>
                </c:pt>
                <c:pt idx="197">
                  <c:v>19.8</c:v>
                </c:pt>
                <c:pt idx="198">
                  <c:v>19.899999999999999</c:v>
                </c:pt>
                <c:pt idx="199">
                  <c:v>20</c:v>
                </c:pt>
              </c:numCache>
            </c:numRef>
          </c:xVal>
          <c:yVal>
            <c:numRef>
              <c:f>fwd!$F$9:$F$208</c:f>
              <c:numCache>
                <c:formatCode>0.0000%</c:formatCode>
                <c:ptCount val="200"/>
                <c:pt idx="0">
                  <c:v>3.0742640919926068E-2</c:v>
                </c:pt>
                <c:pt idx="1">
                  <c:v>2.4731448605124662E-2</c:v>
                </c:pt>
                <c:pt idx="2">
                  <c:v>1.9166743894595051E-2</c:v>
                </c:pt>
                <c:pt idx="3">
                  <c:v>1.7734293116584254E-2</c:v>
                </c:pt>
                <c:pt idx="4">
                  <c:v>1.9239613355805041E-2</c:v>
                </c:pt>
                <c:pt idx="5">
                  <c:v>2.0154913018929577E-2</c:v>
                </c:pt>
                <c:pt idx="6">
                  <c:v>1.989531253480159E-2</c:v>
                </c:pt>
                <c:pt idx="7">
                  <c:v>1.9694992529047717E-2</c:v>
                </c:pt>
                <c:pt idx="8">
                  <c:v>2.0321336236374776E-2</c:v>
                </c:pt>
                <c:pt idx="9">
                  <c:v>2.1308615206045545E-2</c:v>
                </c:pt>
                <c:pt idx="10">
                  <c:v>2.2066248919004217E-2</c:v>
                </c:pt>
                <c:pt idx="11">
                  <c:v>2.2618154444320027E-2</c:v>
                </c:pt>
                <c:pt idx="12">
                  <c:v>2.3252415226036938E-2</c:v>
                </c:pt>
                <c:pt idx="13">
                  <c:v>2.4095816051396213E-2</c:v>
                </c:pt>
                <c:pt idx="14">
                  <c:v>2.5018613163129366E-2</c:v>
                </c:pt>
                <c:pt idx="15">
                  <c:v>2.5881981596250547E-2</c:v>
                </c:pt>
                <c:pt idx="16">
                  <c:v>2.6689156225740085E-2</c:v>
                </c:pt>
                <c:pt idx="17">
                  <c:v>2.7494725057412239E-2</c:v>
                </c:pt>
                <c:pt idx="18">
                  <c:v>2.8296367495562968E-2</c:v>
                </c:pt>
                <c:pt idx="19">
                  <c:v>2.9016026659476779E-2</c:v>
                </c:pt>
                <c:pt idx="20">
                  <c:v>2.9588768710300251E-2</c:v>
                </c:pt>
                <c:pt idx="21">
                  <c:v>3.0061992615208588E-2</c:v>
                </c:pt>
                <c:pt idx="22">
                  <c:v>3.0524915094761518E-2</c:v>
                </c:pt>
                <c:pt idx="23">
                  <c:v>3.1026661642005848E-2</c:v>
                </c:pt>
                <c:pt idx="24">
                  <c:v>3.156431710147789E-2</c:v>
                </c:pt>
                <c:pt idx="25">
                  <c:v>3.2121043117812498E-2</c:v>
                </c:pt>
                <c:pt idx="26">
                  <c:v>3.263635335493742E-2</c:v>
                </c:pt>
                <c:pt idx="27">
                  <c:v>3.3033669403081944E-2</c:v>
                </c:pt>
                <c:pt idx="28">
                  <c:v>3.3297223036734103E-2</c:v>
                </c:pt>
                <c:pt idx="29">
                  <c:v>3.3483727372352945E-2</c:v>
                </c:pt>
                <c:pt idx="30">
                  <c:v>3.3649994562417795E-2</c:v>
                </c:pt>
                <c:pt idx="31">
                  <c:v>3.3810029735810154E-2</c:v>
                </c:pt>
                <c:pt idx="32">
                  <c:v>3.3966342520125536E-2</c:v>
                </c:pt>
                <c:pt idx="33">
                  <c:v>3.4121442948557679E-2</c:v>
                </c:pt>
                <c:pt idx="34">
                  <c:v>3.4277841444545487E-2</c:v>
                </c:pt>
                <c:pt idx="35">
                  <c:v>3.4438048822040379E-2</c:v>
                </c:pt>
                <c:pt idx="36">
                  <c:v>3.4604576301397572E-2</c:v>
                </c:pt>
                <c:pt idx="37">
                  <c:v>3.4779854459619841E-2</c:v>
                </c:pt>
                <c:pt idx="38">
                  <c:v>3.4964395332025333E-2</c:v>
                </c:pt>
                <c:pt idx="39">
                  <c:v>3.5156561753355575E-2</c:v>
                </c:pt>
                <c:pt idx="40">
                  <c:v>3.535490951751985E-2</c:v>
                </c:pt>
                <c:pt idx="41">
                  <c:v>3.5560365001544803E-2</c:v>
                </c:pt>
                <c:pt idx="42">
                  <c:v>3.5774479585496621E-2</c:v>
                </c:pt>
                <c:pt idx="43">
                  <c:v>3.5998805028121694E-2</c:v>
                </c:pt>
                <c:pt idx="44">
                  <c:v>3.6234893503110044E-2</c:v>
                </c:pt>
                <c:pt idx="45">
                  <c:v>3.6484297641323771E-2</c:v>
                </c:pt>
                <c:pt idx="46">
                  <c:v>3.6748570579004713E-2</c:v>
                </c:pt>
                <c:pt idx="47">
                  <c:v>3.7028983507137347E-2</c:v>
                </c:pt>
                <c:pt idx="48">
                  <c:v>3.7320159015398424E-2</c:v>
                </c:pt>
                <c:pt idx="49">
                  <c:v>3.7609425227811855E-2</c:v>
                </c:pt>
                <c:pt idx="50">
                  <c:v>3.7885038290963458E-2</c:v>
                </c:pt>
                <c:pt idx="51">
                  <c:v>3.8143667161019579E-2</c:v>
                </c:pt>
                <c:pt idx="52">
                  <c:v>3.8384173774646868E-2</c:v>
                </c:pt>
                <c:pt idx="53">
                  <c:v>3.8605420032294724E-2</c:v>
                </c:pt>
                <c:pt idx="54">
                  <c:v>3.8806267850805654E-2</c:v>
                </c:pt>
                <c:pt idx="55">
                  <c:v>3.8985579219213307E-2</c:v>
                </c:pt>
                <c:pt idx="56">
                  <c:v>3.9142216257737061E-2</c:v>
                </c:pt>
                <c:pt idx="57">
                  <c:v>3.927527474903858E-2</c:v>
                </c:pt>
                <c:pt idx="58">
                  <c:v>3.9389324891627275E-2</c:v>
                </c:pt>
                <c:pt idx="59">
                  <c:v>3.9494855799702577E-2</c:v>
                </c:pt>
                <c:pt idx="60">
                  <c:v>3.9601445083551567E-2</c:v>
                </c:pt>
                <c:pt idx="61">
                  <c:v>3.9711631813643677E-2</c:v>
                </c:pt>
                <c:pt idx="62">
                  <c:v>3.9826133650761264E-2</c:v>
                </c:pt>
                <c:pt idx="63">
                  <c:v>3.9945668349443686E-2</c:v>
                </c:pt>
                <c:pt idx="64">
                  <c:v>4.0070953766282891E-2</c:v>
                </c:pt>
                <c:pt idx="65">
                  <c:v>4.0202707869504195E-2</c:v>
                </c:pt>
                <c:pt idx="66">
                  <c:v>4.0341648749816272E-2</c:v>
                </c:pt>
                <c:pt idx="67">
                  <c:v>4.0488439573988622E-2</c:v>
                </c:pt>
                <c:pt idx="68">
                  <c:v>4.0642456165911334E-2</c:v>
                </c:pt>
                <c:pt idx="69">
                  <c:v>4.0801696943280952E-2</c:v>
                </c:pt>
                <c:pt idx="70">
                  <c:v>4.0964399430837517E-2</c:v>
                </c:pt>
                <c:pt idx="71">
                  <c:v>4.1130475552792589E-2</c:v>
                </c:pt>
                <c:pt idx="72">
                  <c:v>4.1300268410816798E-2</c:v>
                </c:pt>
                <c:pt idx="73">
                  <c:v>4.1474121173822986E-2</c:v>
                </c:pt>
                <c:pt idx="74">
                  <c:v>4.1652377081274672E-2</c:v>
                </c:pt>
                <c:pt idx="75">
                  <c:v>4.1835379446763632E-2</c:v>
                </c:pt>
                <c:pt idx="76">
                  <c:v>4.2023471661906342E-2</c:v>
                </c:pt>
                <c:pt idx="77">
                  <c:v>4.221689821550445E-2</c:v>
                </c:pt>
                <c:pt idx="78">
                  <c:v>4.241359369547304E-2</c:v>
                </c:pt>
                <c:pt idx="79">
                  <c:v>4.2609040799240105E-2</c:v>
                </c:pt>
                <c:pt idx="80">
                  <c:v>4.2799184375329702E-2</c:v>
                </c:pt>
                <c:pt idx="81">
                  <c:v>4.2982998898588143E-2</c:v>
                </c:pt>
                <c:pt idx="82">
                  <c:v>4.3160235990042928E-2</c:v>
                </c:pt>
                <c:pt idx="83">
                  <c:v>4.3330647258634336E-2</c:v>
                </c:pt>
                <c:pt idx="84">
                  <c:v>4.3493984305323252E-2</c:v>
                </c:pt>
                <c:pt idx="85">
                  <c:v>4.3649998727352646E-2</c:v>
                </c:pt>
                <c:pt idx="86">
                  <c:v>4.3798442122663594E-2</c:v>
                </c:pt>
                <c:pt idx="87">
                  <c:v>4.3939176377509881E-2</c:v>
                </c:pt>
                <c:pt idx="88">
                  <c:v>4.407463290001612E-2</c:v>
                </c:pt>
                <c:pt idx="89">
                  <c:v>4.4209953184017436E-2</c:v>
                </c:pt>
                <c:pt idx="90">
                  <c:v>4.4349735259539003E-2</c:v>
                </c:pt>
                <c:pt idx="91">
                  <c:v>4.4495184759691497E-2</c:v>
                </c:pt>
                <c:pt idx="92">
                  <c:v>4.4646639718682657E-2</c:v>
                </c:pt>
                <c:pt idx="93">
                  <c:v>4.4804438247035172E-2</c:v>
                </c:pt>
                <c:pt idx="94">
                  <c:v>4.4968918536747005E-2</c:v>
                </c:pt>
                <c:pt idx="95">
                  <c:v>4.5140418866727927E-2</c:v>
                </c:pt>
                <c:pt idx="96">
                  <c:v>4.5319277608530051E-2</c:v>
                </c:pt>
                <c:pt idx="97">
                  <c:v>4.5505715208662423E-2</c:v>
                </c:pt>
                <c:pt idx="98">
                  <c:v>4.5697205812552433E-2</c:v>
                </c:pt>
                <c:pt idx="99">
                  <c:v>4.5888341536121757E-2</c:v>
                </c:pt>
                <c:pt idx="100">
                  <c:v>4.6074320124313672E-2</c:v>
                </c:pt>
                <c:pt idx="101">
                  <c:v>4.6253984353671562E-2</c:v>
                </c:pt>
                <c:pt idx="102">
                  <c:v>4.6427107130374345E-2</c:v>
                </c:pt>
                <c:pt idx="103">
                  <c:v>4.6593461352886223E-2</c:v>
                </c:pt>
                <c:pt idx="104">
                  <c:v>4.6752819915687915E-2</c:v>
                </c:pt>
                <c:pt idx="105">
                  <c:v>4.6904955713131358E-2</c:v>
                </c:pt>
                <c:pt idx="106">
                  <c:v>4.7049641643422291E-2</c:v>
                </c:pt>
                <c:pt idx="107">
                  <c:v>4.7186590290661634E-2</c:v>
                </c:pt>
                <c:pt idx="108">
                  <c:v>4.7314112052259993E-2</c:v>
                </c:pt>
                <c:pt idx="109">
                  <c:v>4.7429052158057594E-2</c:v>
                </c:pt>
                <c:pt idx="110">
                  <c:v>4.7528575777826099E-2</c:v>
                </c:pt>
                <c:pt idx="111">
                  <c:v>4.7611717320194202E-2</c:v>
                </c:pt>
                <c:pt idx="112">
                  <c:v>4.7677987389358911E-2</c:v>
                </c:pt>
                <c:pt idx="113">
                  <c:v>4.7726896764487492E-2</c:v>
                </c:pt>
                <c:pt idx="114">
                  <c:v>4.7757956420395153E-2</c:v>
                </c:pt>
                <c:pt idx="115">
                  <c:v>4.7770677548801821E-2</c:v>
                </c:pt>
                <c:pt idx="116">
                  <c:v>4.7764571580170667E-2</c:v>
                </c:pt>
                <c:pt idx="117">
                  <c:v>4.7739308952881032E-2</c:v>
                </c:pt>
                <c:pt idx="118">
                  <c:v>4.7698247088449719E-2</c:v>
                </c:pt>
                <c:pt idx="119">
                  <c:v>4.7648581644457622E-2</c:v>
                </c:pt>
                <c:pt idx="120">
                  <c:v>4.7596643180587428E-2</c:v>
                </c:pt>
                <c:pt idx="121">
                  <c:v>4.7543829840450691E-2</c:v>
                </c:pt>
                <c:pt idx="122">
                  <c:v>4.7490285608097871E-2</c:v>
                </c:pt>
                <c:pt idx="123">
                  <c:v>4.7436154460413604E-2</c:v>
                </c:pt>
                <c:pt idx="124">
                  <c:v>4.7381580366891107E-2</c:v>
                </c:pt>
                <c:pt idx="125">
                  <c:v>4.7326707289431447E-2</c:v>
                </c:pt>
                <c:pt idx="126">
                  <c:v>4.727167918223163E-2</c:v>
                </c:pt>
                <c:pt idx="127">
                  <c:v>4.7216622078957826E-2</c:v>
                </c:pt>
                <c:pt idx="128">
                  <c:v>4.7161246313161875E-2</c:v>
                </c:pt>
                <c:pt idx="129">
                  <c:v>4.7104830762101813E-2</c:v>
                </c:pt>
                <c:pt idx="130">
                  <c:v>4.7046754060690255E-2</c:v>
                </c:pt>
                <c:pt idx="131">
                  <c:v>4.6986952683506722E-2</c:v>
                </c:pt>
                <c:pt idx="132">
                  <c:v>4.6925504755559011E-2</c:v>
                </c:pt>
                <c:pt idx="133">
                  <c:v>4.6862488399190383E-2</c:v>
                </c:pt>
                <c:pt idx="134">
                  <c:v>4.6797981733769589E-2</c:v>
                </c:pt>
                <c:pt idx="135">
                  <c:v>4.6732062875390668E-2</c:v>
                </c:pt>
                <c:pt idx="136">
                  <c:v>4.6664809936600271E-2</c:v>
                </c:pt>
                <c:pt idx="137">
                  <c:v>4.6596290507426197E-2</c:v>
                </c:pt>
                <c:pt idx="138">
                  <c:v>4.652632822717262E-2</c:v>
                </c:pt>
                <c:pt idx="139">
                  <c:v>4.6454494196406237E-2</c:v>
                </c:pt>
                <c:pt idx="140">
                  <c:v>4.6380419176172083E-2</c:v>
                </c:pt>
                <c:pt idx="141">
                  <c:v>4.63040621477111E-2</c:v>
                </c:pt>
                <c:pt idx="142">
                  <c:v>4.6225465342798699E-2</c:v>
                </c:pt>
                <c:pt idx="143">
                  <c:v>4.6144670993702341E-2</c:v>
                </c:pt>
                <c:pt idx="144">
                  <c:v>4.6061721332958605E-2</c:v>
                </c:pt>
                <c:pt idx="145">
                  <c:v>4.5976658593136044E-2</c:v>
                </c:pt>
                <c:pt idx="146">
                  <c:v>4.5889525006622911E-2</c:v>
                </c:pt>
                <c:pt idx="147">
                  <c:v>4.5800351268566963E-2</c:v>
                </c:pt>
                <c:pt idx="148">
                  <c:v>4.5708900663791852E-2</c:v>
                </c:pt>
                <c:pt idx="149">
                  <c:v>4.5614660282485175E-2</c:v>
                </c:pt>
                <c:pt idx="150">
                  <c:v>4.5517183686124341E-2</c:v>
                </c:pt>
                <c:pt idx="151">
                  <c:v>4.5416385045067287E-2</c:v>
                </c:pt>
                <c:pt idx="152">
                  <c:v>4.5312269910021463E-2</c:v>
                </c:pt>
                <c:pt idx="153">
                  <c:v>4.520484383931489E-2</c:v>
                </c:pt>
                <c:pt idx="154">
                  <c:v>4.5094112398847308E-2</c:v>
                </c:pt>
                <c:pt idx="155">
                  <c:v>4.4980081162050212E-2</c:v>
                </c:pt>
                <c:pt idx="156">
                  <c:v>4.486275570984688E-2</c:v>
                </c:pt>
                <c:pt idx="157">
                  <c:v>4.4742142181609879E-2</c:v>
                </c:pt>
                <c:pt idx="158">
                  <c:v>4.4618259489737078E-2</c:v>
                </c:pt>
                <c:pt idx="159">
                  <c:v>4.4491139712373062E-2</c:v>
                </c:pt>
                <c:pt idx="160">
                  <c:v>4.436081171666828E-2</c:v>
                </c:pt>
                <c:pt idx="161">
                  <c:v>4.4227287127947434E-2</c:v>
                </c:pt>
                <c:pt idx="162">
                  <c:v>4.4090573211398087E-2</c:v>
                </c:pt>
                <c:pt idx="163">
                  <c:v>4.3950677238832725E-2</c:v>
                </c:pt>
                <c:pt idx="164">
                  <c:v>4.3807606488617701E-2</c:v>
                </c:pt>
                <c:pt idx="165">
                  <c:v>4.3661368245628829E-2</c:v>
                </c:pt>
                <c:pt idx="166">
                  <c:v>4.3511969801187433E-2</c:v>
                </c:pt>
                <c:pt idx="167">
                  <c:v>4.3359419354990436E-2</c:v>
                </c:pt>
                <c:pt idx="168">
                  <c:v>4.3203746000465948E-2</c:v>
                </c:pt>
                <c:pt idx="169">
                  <c:v>4.3045000328944205E-2</c:v>
                </c:pt>
                <c:pt idx="170">
                  <c:v>4.288322760698815E-2</c:v>
                </c:pt>
                <c:pt idx="171">
                  <c:v>4.2718444834510372E-2</c:v>
                </c:pt>
                <c:pt idx="172">
                  <c:v>4.2550661864546591E-2</c:v>
                </c:pt>
                <c:pt idx="173">
                  <c:v>4.2379888555251988E-2</c:v>
                </c:pt>
                <c:pt idx="174">
                  <c:v>4.2206134769826598E-2</c:v>
                </c:pt>
                <c:pt idx="175">
                  <c:v>4.2029410376448695E-2</c:v>
                </c:pt>
                <c:pt idx="176">
                  <c:v>4.1849725248200187E-2</c:v>
                </c:pt>
                <c:pt idx="177">
                  <c:v>4.1667090359014836E-2</c:v>
                </c:pt>
                <c:pt idx="178">
                  <c:v>4.1481542058603438E-2</c:v>
                </c:pt>
                <c:pt idx="179">
                  <c:v>4.1293142764692092E-2</c:v>
                </c:pt>
                <c:pt idx="180">
                  <c:v>4.1101948353831297E-2</c:v>
                </c:pt>
                <c:pt idx="181">
                  <c:v>4.0907980311887471E-2</c:v>
                </c:pt>
                <c:pt idx="182">
                  <c:v>4.0711251433187101E-2</c:v>
                </c:pt>
                <c:pt idx="183">
                  <c:v>4.0511774515323395E-2</c:v>
                </c:pt>
                <c:pt idx="184">
                  <c:v>4.030956235905947E-2</c:v>
                </c:pt>
                <c:pt idx="185">
                  <c:v>4.0104627768255519E-2</c:v>
                </c:pt>
                <c:pt idx="186">
                  <c:v>3.9896983549771114E-2</c:v>
                </c:pt>
                <c:pt idx="187">
                  <c:v>3.9686643683603862E-2</c:v>
                </c:pt>
                <c:pt idx="188">
                  <c:v>3.9473649231656083E-2</c:v>
                </c:pt>
                <c:pt idx="189">
                  <c:v>3.9258069036764986E-2</c:v>
                </c:pt>
                <c:pt idx="190">
                  <c:v>3.9039964890569934E-2</c:v>
                </c:pt>
                <c:pt idx="191">
                  <c:v>3.8819361825354726E-2</c:v>
                </c:pt>
                <c:pt idx="192">
                  <c:v>3.8596275587211792E-2</c:v>
                </c:pt>
                <c:pt idx="193">
                  <c:v>3.8370721923448592E-2</c:v>
                </c:pt>
                <c:pt idx="194">
                  <c:v>3.8142716582481029E-2</c:v>
                </c:pt>
                <c:pt idx="195">
                  <c:v>3.7912275313750854E-2</c:v>
                </c:pt>
                <c:pt idx="196">
                  <c:v>3.7679413867627076E-2</c:v>
                </c:pt>
                <c:pt idx="197">
                  <c:v>3.7444172144024179E-2</c:v>
                </c:pt>
                <c:pt idx="198">
                  <c:v>3.7207148677531166E-2</c:v>
                </c:pt>
                <c:pt idx="199">
                  <c:v>3.6969514321228303E-2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6D-4131-A5CF-8335574478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1945856"/>
        <c:axId val="1442765536"/>
      </c:scatterChart>
      <c:valAx>
        <c:axId val="1341945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42765536"/>
        <c:crosses val="autoZero"/>
        <c:crossBetween val="midCat"/>
      </c:valAx>
      <c:valAx>
        <c:axId val="1442765536"/>
        <c:scaling>
          <c:orientation val="minMax"/>
          <c:max val="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194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581025</xdr:colOff>
      <xdr:row>6</xdr:row>
      <xdr:rowOff>28574</xdr:rowOff>
    </xdr:from>
    <xdr:to>
      <xdr:col>16</xdr:col>
      <xdr:colOff>238125</xdr:colOff>
      <xdr:row>34</xdr:row>
      <xdr:rowOff>19049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DA4BC8E-9CE2-4561-88F7-E5686147F8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37412-7EC0-4B8E-A6CD-18D8203D86D9}">
  <sheetPr codeName="Feuil1"/>
  <dimension ref="D3:P43"/>
  <sheetViews>
    <sheetView workbookViewId="0">
      <selection activeCell="J21" sqref="J21"/>
    </sheetView>
  </sheetViews>
  <sheetFormatPr baseColWidth="10" defaultRowHeight="15" x14ac:dyDescent="0.25"/>
  <sheetData>
    <row r="3" spans="4:16" x14ac:dyDescent="0.25">
      <c r="D3" s="1"/>
      <c r="E3" s="2" t="s">
        <v>0</v>
      </c>
      <c r="F3" s="2" t="s">
        <v>1</v>
      </c>
      <c r="I3" s="8" t="s">
        <v>5</v>
      </c>
      <c r="J3" s="9">
        <v>-100</v>
      </c>
      <c r="K3" s="9">
        <v>-50</v>
      </c>
      <c r="L3" s="9">
        <v>-25</v>
      </c>
      <c r="M3" s="9">
        <v>0</v>
      </c>
      <c r="N3" s="9">
        <v>25</v>
      </c>
      <c r="O3" s="9">
        <v>50</v>
      </c>
      <c r="P3" s="9">
        <v>100</v>
      </c>
    </row>
    <row r="4" spans="4:16" x14ac:dyDescent="0.25">
      <c r="D4" s="3" t="s">
        <v>2</v>
      </c>
      <c r="E4" s="4">
        <v>0.25</v>
      </c>
      <c r="F4" s="5">
        <v>3.0697718896498749E-2</v>
      </c>
      <c r="I4" s="8" t="s">
        <v>6</v>
      </c>
      <c r="J4" s="10">
        <v>0.31185914320945729</v>
      </c>
      <c r="K4" s="10">
        <v>0.28327436264157285</v>
      </c>
      <c r="L4" s="10">
        <v>0.26592149052023883</v>
      </c>
      <c r="M4" s="10">
        <v>0.25</v>
      </c>
      <c r="N4" s="10">
        <v>0.24345087937712662</v>
      </c>
      <c r="O4" s="10">
        <v>0.24901900565624235</v>
      </c>
      <c r="P4" s="10">
        <v>0.27182777973413452</v>
      </c>
    </row>
    <row r="5" spans="4:16" x14ac:dyDescent="0.25">
      <c r="D5" s="3" t="s">
        <v>2</v>
      </c>
      <c r="E5" s="4">
        <v>0.5</v>
      </c>
      <c r="F5" s="5">
        <v>2.6191114760694134E-2</v>
      </c>
      <c r="I5" s="8" t="s">
        <v>7</v>
      </c>
      <c r="J5" s="10">
        <v>0.31185914320945729</v>
      </c>
      <c r="K5" s="10">
        <v>0.28327436264157285</v>
      </c>
      <c r="L5" s="10">
        <v>0.26592149052023883</v>
      </c>
      <c r="M5" s="10">
        <v>0.25</v>
      </c>
      <c r="N5" s="10">
        <v>0.24345087937712662</v>
      </c>
      <c r="O5" s="10">
        <v>0.24901900565624235</v>
      </c>
      <c r="P5" s="10">
        <v>0.27182777973413452</v>
      </c>
    </row>
    <row r="6" spans="4:16" x14ac:dyDescent="0.25">
      <c r="D6" s="3" t="s">
        <v>2</v>
      </c>
      <c r="E6" s="4">
        <v>0.75</v>
      </c>
      <c r="F6" s="5">
        <v>2.395793211262346E-2</v>
      </c>
    </row>
    <row r="7" spans="4:16" x14ac:dyDescent="0.25">
      <c r="D7" s="3" t="s">
        <v>2</v>
      </c>
      <c r="E7" s="4">
        <v>1</v>
      </c>
      <c r="F7" s="5">
        <v>2.2979036068142111E-2</v>
      </c>
    </row>
    <row r="8" spans="4:16" x14ac:dyDescent="0.25">
      <c r="D8" s="6" t="s">
        <v>3</v>
      </c>
      <c r="E8" s="4">
        <v>1.25</v>
      </c>
      <c r="F8" s="5">
        <v>0.97869138479395446</v>
      </c>
    </row>
    <row r="9" spans="4:16" x14ac:dyDescent="0.25">
      <c r="D9" s="6" t="s">
        <v>3</v>
      </c>
      <c r="E9" s="4">
        <v>1.5</v>
      </c>
      <c r="F9" s="5">
        <v>0.97709418176591001</v>
      </c>
    </row>
    <row r="10" spans="4:16" x14ac:dyDescent="0.25">
      <c r="D10" s="6" t="s">
        <v>3</v>
      </c>
      <c r="E10" s="4">
        <v>1.75</v>
      </c>
      <c r="F10" s="5">
        <v>0.97498138683687063</v>
      </c>
    </row>
    <row r="11" spans="4:16" x14ac:dyDescent="0.25">
      <c r="D11" s="6" t="s">
        <v>3</v>
      </c>
      <c r="E11" s="4">
        <v>2</v>
      </c>
      <c r="F11" s="5">
        <v>0.97291103659872125</v>
      </c>
    </row>
    <row r="12" spans="4:16" x14ac:dyDescent="0.25">
      <c r="D12" s="6" t="s">
        <v>3</v>
      </c>
      <c r="E12" s="4">
        <v>2.25</v>
      </c>
      <c r="F12" s="5">
        <v>0.97098397334052322</v>
      </c>
    </row>
    <row r="13" spans="4:16" x14ac:dyDescent="0.25">
      <c r="D13" s="6" t="s">
        <v>3</v>
      </c>
      <c r="E13" s="4">
        <v>2.5</v>
      </c>
      <c r="F13" s="5">
        <v>0.96971078922637943</v>
      </c>
      <c r="I13" s="11" t="s">
        <v>8</v>
      </c>
      <c r="J13" s="11">
        <f>10^30</f>
        <v>1E+30</v>
      </c>
    </row>
    <row r="14" spans="4:16" x14ac:dyDescent="0.25">
      <c r="D14" s="6" t="s">
        <v>3</v>
      </c>
      <c r="E14" s="4">
        <v>2.75</v>
      </c>
      <c r="F14" s="5">
        <v>0.96843568289852211</v>
      </c>
      <c r="I14" s="11" t="s">
        <v>9</v>
      </c>
      <c r="J14" s="11">
        <f>10^30</f>
        <v>1E+30</v>
      </c>
    </row>
    <row r="15" spans="4:16" x14ac:dyDescent="0.25">
      <c r="D15" s="7" t="s">
        <v>4</v>
      </c>
      <c r="E15" s="4">
        <v>3</v>
      </c>
      <c r="F15" s="5">
        <v>2.6111747784914457E-2</v>
      </c>
      <c r="J15" s="11" t="s">
        <v>10</v>
      </c>
    </row>
    <row r="16" spans="4:16" x14ac:dyDescent="0.25">
      <c r="D16" s="7" t="s">
        <v>4</v>
      </c>
      <c r="E16" s="4">
        <v>4</v>
      </c>
      <c r="F16" s="5">
        <v>2.8117273144594026E-2</v>
      </c>
      <c r="I16" s="12">
        <v>3</v>
      </c>
      <c r="J16" s="13" t="e">
        <f ca="1">Interpolation($E$15:$E$30,$F$15:$F$30,I16,$J$13,$J$14)</f>
        <v>#NAME?</v>
      </c>
    </row>
    <row r="17" spans="4:10" x14ac:dyDescent="0.25">
      <c r="D17" s="7" t="s">
        <v>4</v>
      </c>
      <c r="E17" s="4">
        <v>5</v>
      </c>
      <c r="F17" s="5">
        <v>2.9680203951166873E-2</v>
      </c>
      <c r="I17" s="12">
        <v>4</v>
      </c>
      <c r="J17" s="13" t="e">
        <f t="shared" ref="J17:J43" ca="1" si="0">Interpolation($E$15:$E$30,$F$15:$F$30,I17,$J$13,$J$14)</f>
        <v>#NAME?</v>
      </c>
    </row>
    <row r="18" spans="4:10" x14ac:dyDescent="0.25">
      <c r="D18" s="7" t="s">
        <v>4</v>
      </c>
      <c r="E18" s="4">
        <v>6</v>
      </c>
      <c r="F18" s="5">
        <v>3.1106667716652211E-2</v>
      </c>
      <c r="I18" s="12">
        <v>5</v>
      </c>
      <c r="J18" s="13" t="e">
        <f t="shared" ca="1" si="0"/>
        <v>#NAME?</v>
      </c>
    </row>
    <row r="19" spans="4:10" x14ac:dyDescent="0.25">
      <c r="D19" s="7" t="s">
        <v>4</v>
      </c>
      <c r="E19" s="4">
        <v>7</v>
      </c>
      <c r="F19" s="5">
        <v>3.2312601485939695E-2</v>
      </c>
      <c r="I19" s="12">
        <v>6</v>
      </c>
      <c r="J19" s="13" t="e">
        <f t="shared" ca="1" si="0"/>
        <v>#NAME?</v>
      </c>
    </row>
    <row r="20" spans="4:10" x14ac:dyDescent="0.25">
      <c r="D20" s="7" t="s">
        <v>4</v>
      </c>
      <c r="E20" s="4">
        <v>8</v>
      </c>
      <c r="F20" s="5">
        <v>3.3381685636024304E-2</v>
      </c>
      <c r="I20" s="12">
        <v>7</v>
      </c>
      <c r="J20" s="13" t="e">
        <f t="shared" ca="1" si="0"/>
        <v>#NAME?</v>
      </c>
    </row>
    <row r="21" spans="4:10" x14ac:dyDescent="0.25">
      <c r="D21" s="7" t="s">
        <v>4</v>
      </c>
      <c r="E21" s="4">
        <v>9</v>
      </c>
      <c r="F21" s="5">
        <v>3.4384829509644582E-2</v>
      </c>
      <c r="I21" s="12">
        <v>8</v>
      </c>
      <c r="J21" s="13" t="e">
        <f t="shared" ca="1" si="0"/>
        <v>#NAME?</v>
      </c>
    </row>
    <row r="22" spans="4:10" x14ac:dyDescent="0.25">
      <c r="D22" s="7" t="s">
        <v>4</v>
      </c>
      <c r="E22" s="4">
        <v>10</v>
      </c>
      <c r="F22" s="5">
        <v>3.5312470530489949E-2</v>
      </c>
      <c r="I22" s="12">
        <v>9</v>
      </c>
      <c r="J22" s="13" t="e">
        <f t="shared" ca="1" si="0"/>
        <v>#NAME?</v>
      </c>
    </row>
    <row r="23" spans="4:10" x14ac:dyDescent="0.25">
      <c r="D23" s="7" t="s">
        <v>4</v>
      </c>
      <c r="E23" s="4">
        <v>11</v>
      </c>
      <c r="F23" s="5">
        <v>3.6196857381692309E-2</v>
      </c>
      <c r="I23" s="12">
        <v>10</v>
      </c>
      <c r="J23" s="13" t="e">
        <f t="shared" ca="1" si="0"/>
        <v>#NAME?</v>
      </c>
    </row>
    <row r="24" spans="4:10" x14ac:dyDescent="0.25">
      <c r="D24" s="7" t="s">
        <v>4</v>
      </c>
      <c r="E24" s="4">
        <v>12</v>
      </c>
      <c r="F24" s="5">
        <v>3.700324340684779E-2</v>
      </c>
      <c r="I24" s="12">
        <v>11</v>
      </c>
      <c r="J24" s="13" t="e">
        <f t="shared" ca="1" si="0"/>
        <v>#NAME?</v>
      </c>
    </row>
    <row r="25" spans="4:10" x14ac:dyDescent="0.25">
      <c r="D25" s="7" t="s">
        <v>4</v>
      </c>
      <c r="E25" s="4">
        <v>13</v>
      </c>
      <c r="F25" s="5">
        <v>3.7667656508294775E-2</v>
      </c>
      <c r="I25" s="12">
        <v>12</v>
      </c>
      <c r="J25" s="13" t="e">
        <f t="shared" ca="1" si="0"/>
        <v>#NAME?</v>
      </c>
    </row>
    <row r="26" spans="4:10" x14ac:dyDescent="0.25">
      <c r="D26" s="7" t="s">
        <v>4</v>
      </c>
      <c r="E26" s="4">
        <v>14</v>
      </c>
      <c r="F26" s="5">
        <v>3.8201107786798805E-2</v>
      </c>
      <c r="I26" s="12">
        <v>13</v>
      </c>
      <c r="J26" s="13" t="e">
        <f t="shared" ca="1" si="0"/>
        <v>#NAME?</v>
      </c>
    </row>
    <row r="27" spans="4:10" x14ac:dyDescent="0.25">
      <c r="D27" s="7" t="s">
        <v>4</v>
      </c>
      <c r="E27" s="4">
        <v>15</v>
      </c>
      <c r="F27" s="5">
        <v>3.8624421828800569E-2</v>
      </c>
      <c r="I27" s="12">
        <v>14</v>
      </c>
      <c r="J27" s="13" t="e">
        <f t="shared" ca="1" si="0"/>
        <v>#NAME?</v>
      </c>
    </row>
    <row r="28" spans="4:10" x14ac:dyDescent="0.25">
      <c r="D28" s="7" t="s">
        <v>4</v>
      </c>
      <c r="E28" s="4">
        <v>20</v>
      </c>
      <c r="F28" s="5">
        <v>3.9379710678109067E-2</v>
      </c>
      <c r="I28" s="12">
        <v>15</v>
      </c>
      <c r="J28" s="13" t="e">
        <f t="shared" ca="1" si="0"/>
        <v>#NAME?</v>
      </c>
    </row>
    <row r="29" spans="4:10" x14ac:dyDescent="0.25">
      <c r="D29" s="7" t="s">
        <v>4</v>
      </c>
      <c r="E29" s="4">
        <v>25</v>
      </c>
      <c r="F29" s="5">
        <v>3.85014108511533E-2</v>
      </c>
      <c r="I29" s="12">
        <v>16</v>
      </c>
      <c r="J29" s="13" t="e">
        <f t="shared" ca="1" si="0"/>
        <v>#NAME?</v>
      </c>
    </row>
    <row r="30" spans="4:10" x14ac:dyDescent="0.25">
      <c r="D30" s="7" t="s">
        <v>4</v>
      </c>
      <c r="E30" s="4">
        <v>30</v>
      </c>
      <c r="F30" s="5">
        <v>3.766771798919788E-2</v>
      </c>
      <c r="I30" s="12">
        <v>17</v>
      </c>
      <c r="J30" s="13" t="e">
        <f t="shared" ca="1" si="0"/>
        <v>#NAME?</v>
      </c>
    </row>
    <row r="31" spans="4:10" x14ac:dyDescent="0.25">
      <c r="I31" s="12">
        <v>18</v>
      </c>
      <c r="J31" s="13" t="e">
        <f t="shared" ca="1" si="0"/>
        <v>#NAME?</v>
      </c>
    </row>
    <row r="32" spans="4:10" x14ac:dyDescent="0.25">
      <c r="I32" s="12">
        <v>19</v>
      </c>
      <c r="J32" s="13" t="e">
        <f t="shared" ca="1" si="0"/>
        <v>#NAME?</v>
      </c>
    </row>
    <row r="33" spans="9:10" x14ac:dyDescent="0.25">
      <c r="I33" s="12">
        <v>20</v>
      </c>
      <c r="J33" s="13" t="e">
        <f t="shared" ca="1" si="0"/>
        <v>#NAME?</v>
      </c>
    </row>
    <row r="34" spans="9:10" x14ac:dyDescent="0.25">
      <c r="I34" s="12">
        <v>21</v>
      </c>
      <c r="J34" s="13" t="e">
        <f t="shared" ca="1" si="0"/>
        <v>#NAME?</v>
      </c>
    </row>
    <row r="35" spans="9:10" x14ac:dyDescent="0.25">
      <c r="I35" s="12">
        <v>22</v>
      </c>
      <c r="J35" s="13" t="e">
        <f t="shared" ca="1" si="0"/>
        <v>#NAME?</v>
      </c>
    </row>
    <row r="36" spans="9:10" x14ac:dyDescent="0.25">
      <c r="I36" s="12">
        <v>23</v>
      </c>
      <c r="J36" s="13" t="e">
        <f t="shared" ca="1" si="0"/>
        <v>#NAME?</v>
      </c>
    </row>
    <row r="37" spans="9:10" x14ac:dyDescent="0.25">
      <c r="I37" s="12">
        <v>24</v>
      </c>
      <c r="J37" s="13" t="e">
        <f t="shared" ca="1" si="0"/>
        <v>#NAME?</v>
      </c>
    </row>
    <row r="38" spans="9:10" x14ac:dyDescent="0.25">
      <c r="I38" s="12">
        <v>25</v>
      </c>
      <c r="J38" s="13" t="e">
        <f t="shared" ca="1" si="0"/>
        <v>#NAME?</v>
      </c>
    </row>
    <row r="39" spans="9:10" x14ac:dyDescent="0.25">
      <c r="I39" s="12">
        <v>26</v>
      </c>
      <c r="J39" s="13" t="e">
        <f t="shared" ca="1" si="0"/>
        <v>#NAME?</v>
      </c>
    </row>
    <row r="40" spans="9:10" x14ac:dyDescent="0.25">
      <c r="I40" s="12">
        <v>27</v>
      </c>
      <c r="J40" s="13" t="e">
        <f t="shared" ca="1" si="0"/>
        <v>#NAME?</v>
      </c>
    </row>
    <row r="41" spans="9:10" x14ac:dyDescent="0.25">
      <c r="I41" s="12">
        <v>28</v>
      </c>
      <c r="J41" s="13" t="e">
        <f t="shared" ca="1" si="0"/>
        <v>#NAME?</v>
      </c>
    </row>
    <row r="42" spans="9:10" x14ac:dyDescent="0.25">
      <c r="I42" s="12">
        <v>29</v>
      </c>
      <c r="J42" s="13" t="e">
        <f t="shared" ca="1" si="0"/>
        <v>#NAME?</v>
      </c>
    </row>
    <row r="43" spans="9:10" x14ac:dyDescent="0.25">
      <c r="I43" s="12">
        <v>30</v>
      </c>
      <c r="J43" s="13" t="e">
        <f t="shared" ca="1" si="0"/>
        <v>#NAME?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34C8E-9C3F-4099-B731-5FF6D288C37D}">
  <sheetPr codeName="Feuil2"/>
  <dimension ref="E6:I45"/>
  <sheetViews>
    <sheetView workbookViewId="0">
      <selection activeCell="I6" sqref="I6"/>
    </sheetView>
  </sheetViews>
  <sheetFormatPr baseColWidth="10" defaultRowHeight="15" x14ac:dyDescent="0.25"/>
  <sheetData>
    <row r="6" spans="5:9" x14ac:dyDescent="0.25">
      <c r="E6" s="1"/>
      <c r="F6" s="1"/>
      <c r="G6" s="2" t="s">
        <v>11</v>
      </c>
      <c r="H6" s="2" t="s">
        <v>12</v>
      </c>
      <c r="I6" s="15" t="s">
        <v>13</v>
      </c>
    </row>
    <row r="7" spans="5:9" x14ac:dyDescent="0.25">
      <c r="E7" s="3" t="s">
        <v>2</v>
      </c>
      <c r="F7" s="4">
        <v>0.25</v>
      </c>
      <c r="G7" s="14">
        <v>3.0697718896498749E-2</v>
      </c>
      <c r="H7" s="14">
        <v>3.058052437217397E-2</v>
      </c>
      <c r="I7">
        <f>EXP(-H7*F7)</f>
        <v>0.99238401858998671</v>
      </c>
    </row>
    <row r="8" spans="5:9" x14ac:dyDescent="0.25">
      <c r="E8" s="3" t="s">
        <v>2</v>
      </c>
      <c r="F8" s="4">
        <v>0.5</v>
      </c>
      <c r="G8" s="14">
        <v>2.6191114760694134E-2</v>
      </c>
      <c r="H8" s="14">
        <v>2.6021103788009235E-2</v>
      </c>
      <c r="I8">
        <f t="shared" ref="I8:I45" si="0">EXP(-H8*F8)</f>
        <v>0.98707371946807321</v>
      </c>
    </row>
    <row r="9" spans="5:9" x14ac:dyDescent="0.25">
      <c r="E9" s="3" t="s">
        <v>2</v>
      </c>
      <c r="F9" s="4">
        <v>0.75</v>
      </c>
      <c r="G9" s="14">
        <v>2.395793211262346E-2</v>
      </c>
      <c r="H9" s="14">
        <v>2.3745232809651642E-2</v>
      </c>
      <c r="I9">
        <f t="shared" si="0"/>
        <v>0.98234871709370963</v>
      </c>
    </row>
    <row r="10" spans="5:9" x14ac:dyDescent="0.25">
      <c r="E10" s="3" t="s">
        <v>2</v>
      </c>
      <c r="F10" s="4">
        <v>1</v>
      </c>
      <c r="G10" s="14">
        <v>2.2979036068142111E-2</v>
      </c>
      <c r="H10" s="14">
        <v>2.2718994157501532E-2</v>
      </c>
      <c r="I10">
        <f t="shared" si="0"/>
        <v>0.97753713882890225</v>
      </c>
    </row>
    <row r="11" spans="5:9" x14ac:dyDescent="0.25">
      <c r="E11" s="6" t="s">
        <v>3</v>
      </c>
      <c r="F11" s="4">
        <v>1.25</v>
      </c>
      <c r="G11" s="14">
        <v>0.97869138479395446</v>
      </c>
      <c r="H11" s="14">
        <v>2.2425607093640297E-2</v>
      </c>
      <c r="I11">
        <f t="shared" si="0"/>
        <v>0.9723572422494261</v>
      </c>
    </row>
    <row r="12" spans="5:9" x14ac:dyDescent="0.25">
      <c r="E12" s="6" t="s">
        <v>3</v>
      </c>
      <c r="F12" s="4">
        <v>1.5</v>
      </c>
      <c r="G12" s="14">
        <v>0.97709418176591001</v>
      </c>
      <c r="H12" s="14">
        <v>2.249475307437572E-2</v>
      </c>
      <c r="I12">
        <f t="shared" si="0"/>
        <v>0.96682078694674067</v>
      </c>
    </row>
    <row r="13" spans="5:9" x14ac:dyDescent="0.25">
      <c r="E13" s="6" t="s">
        <v>3</v>
      </c>
      <c r="F13" s="4">
        <v>1.75</v>
      </c>
      <c r="G13" s="14">
        <v>0.97498138683687063</v>
      </c>
      <c r="H13" s="14">
        <v>2.2844173565635624E-2</v>
      </c>
      <c r="I13">
        <f t="shared" si="0"/>
        <v>0.96081124572683463</v>
      </c>
    </row>
    <row r="14" spans="5:9" x14ac:dyDescent="0.25">
      <c r="E14" s="6" t="s">
        <v>3</v>
      </c>
      <c r="F14" s="4">
        <v>2</v>
      </c>
      <c r="G14" s="14">
        <v>0.97291103659872125</v>
      </c>
      <c r="H14" s="14">
        <v>2.3363357988202355E-2</v>
      </c>
      <c r="I14">
        <f t="shared" si="0"/>
        <v>0.95434817006409867</v>
      </c>
    </row>
    <row r="15" spans="5:9" x14ac:dyDescent="0.25">
      <c r="E15" s="6" t="s">
        <v>3</v>
      </c>
      <c r="F15" s="4">
        <v>2.25</v>
      </c>
      <c r="G15" s="14">
        <v>0.97098397334052322</v>
      </c>
      <c r="H15" s="14">
        <v>2.397979505930941E-2</v>
      </c>
      <c r="I15">
        <f t="shared" si="0"/>
        <v>0.94747517880226884</v>
      </c>
    </row>
    <row r="16" spans="5:9" x14ac:dyDescent="0.25">
      <c r="E16" s="6" t="s">
        <v>3</v>
      </c>
      <c r="F16" s="4">
        <v>2.5</v>
      </c>
      <c r="G16" s="14">
        <v>0.96971078922637943</v>
      </c>
      <c r="H16" s="14">
        <v>2.4599326242862787E-2</v>
      </c>
      <c r="I16">
        <f t="shared" si="0"/>
        <v>0.94035452966453437</v>
      </c>
    </row>
    <row r="17" spans="5:9" x14ac:dyDescent="0.25">
      <c r="E17" s="6" t="s">
        <v>3</v>
      </c>
      <c r="F17" s="4">
        <v>2.75</v>
      </c>
      <c r="G17" s="14">
        <v>0.96843568289852211</v>
      </c>
      <c r="H17" s="14">
        <v>2.5221244779417805E-2</v>
      </c>
      <c r="I17">
        <f t="shared" si="0"/>
        <v>0.93299221413945743</v>
      </c>
    </row>
    <row r="18" spans="5:9" x14ac:dyDescent="0.25">
      <c r="E18" s="7" t="s">
        <v>4</v>
      </c>
      <c r="F18" s="4">
        <v>3</v>
      </c>
      <c r="G18" s="14">
        <v>2.6111747784914457E-2</v>
      </c>
      <c r="H18" s="14">
        <v>2.5846126232160458E-2</v>
      </c>
      <c r="I18">
        <f t="shared" si="0"/>
        <v>0.92539150839528517</v>
      </c>
    </row>
    <row r="19" spans="5:9" x14ac:dyDescent="0.25">
      <c r="E19" s="7" t="s">
        <v>4</v>
      </c>
      <c r="F19" s="4">
        <v>4</v>
      </c>
      <c r="G19" s="14">
        <v>2.8117273144594026E-2</v>
      </c>
      <c r="H19" s="14">
        <v>2.7869803168513271E-2</v>
      </c>
      <c r="I19">
        <f t="shared" si="0"/>
        <v>0.89450998568063966</v>
      </c>
    </row>
    <row r="20" spans="5:9" x14ac:dyDescent="0.25">
      <c r="E20" s="7" t="s">
        <v>4</v>
      </c>
      <c r="F20" s="4">
        <v>5</v>
      </c>
      <c r="G20" s="14">
        <v>2.9680203951166873E-2</v>
      </c>
      <c r="H20" s="14">
        <v>2.9460873509031805E-2</v>
      </c>
      <c r="I20">
        <f t="shared" si="0"/>
        <v>0.86303125873121145</v>
      </c>
    </row>
    <row r="21" spans="5:9" x14ac:dyDescent="0.25">
      <c r="E21" s="7" t="s">
        <v>4</v>
      </c>
      <c r="F21" s="4">
        <v>6</v>
      </c>
      <c r="G21" s="14">
        <v>3.1106667716652211E-2</v>
      </c>
      <c r="H21" s="14">
        <v>3.0932313729207548E-2</v>
      </c>
      <c r="I21">
        <f t="shared" si="0"/>
        <v>0.83061085220063824</v>
      </c>
    </row>
    <row r="22" spans="5:9" x14ac:dyDescent="0.25">
      <c r="E22" s="7" t="s">
        <v>4</v>
      </c>
      <c r="F22" s="4">
        <v>7</v>
      </c>
      <c r="G22" s="14">
        <v>3.2312601485939695E-2</v>
      </c>
      <c r="H22" s="14">
        <v>3.2190407285755999E-2</v>
      </c>
      <c r="I22">
        <f t="shared" si="0"/>
        <v>0.79825047606602773</v>
      </c>
    </row>
    <row r="23" spans="5:9" x14ac:dyDescent="0.25">
      <c r="E23" s="7" t="s">
        <v>4</v>
      </c>
      <c r="F23" s="4">
        <v>8</v>
      </c>
      <c r="G23" s="14">
        <v>3.3381685636024304E-2</v>
      </c>
      <c r="H23" s="14">
        <v>3.3320835476686586E-2</v>
      </c>
      <c r="I23">
        <f t="shared" si="0"/>
        <v>0.76600492189370128</v>
      </c>
    </row>
    <row r="24" spans="5:9" x14ac:dyDescent="0.25">
      <c r="E24" s="7" t="s">
        <v>4</v>
      </c>
      <c r="F24" s="4">
        <v>9</v>
      </c>
      <c r="G24" s="14">
        <v>3.4384829509644582E-2</v>
      </c>
      <c r="H24" s="14">
        <v>3.4399521576498976E-2</v>
      </c>
      <c r="I24">
        <f t="shared" si="0"/>
        <v>0.73374355304499339</v>
      </c>
    </row>
    <row r="25" spans="5:9" x14ac:dyDescent="0.25">
      <c r="E25" s="7" t="s">
        <v>4</v>
      </c>
      <c r="F25" s="4">
        <v>10</v>
      </c>
      <c r="G25" s="14">
        <v>3.5312470530489949E-2</v>
      </c>
      <c r="H25" s="14">
        <v>3.5413690248919945E-2</v>
      </c>
      <c r="I25">
        <f t="shared" si="0"/>
        <v>0.70177888550232881</v>
      </c>
    </row>
    <row r="26" spans="5:9" x14ac:dyDescent="0.25">
      <c r="E26" s="7" t="s">
        <v>4</v>
      </c>
      <c r="F26" s="4">
        <v>11</v>
      </c>
      <c r="G26" s="14">
        <v>3.6196857381692309E-2</v>
      </c>
      <c r="H26" s="14">
        <v>3.6399435879662496E-2</v>
      </c>
      <c r="I26">
        <f t="shared" si="0"/>
        <v>0.67005612953796811</v>
      </c>
    </row>
    <row r="27" spans="5:9" x14ac:dyDescent="0.25">
      <c r="E27" s="7" t="s">
        <v>4</v>
      </c>
      <c r="F27" s="4">
        <v>12</v>
      </c>
      <c r="G27" s="14">
        <v>3.700324340684779E-2</v>
      </c>
      <c r="H27" s="14">
        <v>3.7313276849081381E-2</v>
      </c>
      <c r="I27">
        <f t="shared" si="0"/>
        <v>0.6390584727187415</v>
      </c>
    </row>
    <row r="28" spans="5:9" x14ac:dyDescent="0.25">
      <c r="E28" s="7" t="s">
        <v>4</v>
      </c>
      <c r="F28" s="4">
        <v>13</v>
      </c>
      <c r="G28" s="14">
        <v>3.7667656508294775E-2</v>
      </c>
      <c r="H28" s="14">
        <v>3.8071382788685049E-2</v>
      </c>
      <c r="I28">
        <f t="shared" si="0"/>
        <v>0.60961481245826066</v>
      </c>
    </row>
    <row r="29" spans="5:9" x14ac:dyDescent="0.25">
      <c r="E29" s="7" t="s">
        <v>4</v>
      </c>
      <c r="F29" s="4">
        <v>14</v>
      </c>
      <c r="G29" s="14">
        <v>3.8201107786798805E-2</v>
      </c>
      <c r="H29" s="14">
        <v>3.8680568418182182E-2</v>
      </c>
      <c r="I29">
        <f t="shared" si="0"/>
        <v>0.58185851751633333</v>
      </c>
    </row>
    <row r="30" spans="5:9" x14ac:dyDescent="0.25">
      <c r="E30" s="7" t="s">
        <v>4</v>
      </c>
      <c r="F30" s="4">
        <v>15</v>
      </c>
      <c r="G30" s="14">
        <v>3.8624421828800569E-2</v>
      </c>
      <c r="H30" s="14">
        <v>3.9161352756395255E-2</v>
      </c>
      <c r="I30">
        <f t="shared" si="0"/>
        <v>0.55575913371065477</v>
      </c>
    </row>
    <row r="31" spans="5:9" x14ac:dyDescent="0.25">
      <c r="E31" s="7" t="s">
        <v>4</v>
      </c>
      <c r="F31" s="4">
        <v>16</v>
      </c>
      <c r="G31" s="14">
        <v>3.8951952504771306E-2</v>
      </c>
      <c r="H31" s="14">
        <v>3.9527134546850945E-2</v>
      </c>
      <c r="I31">
        <f t="shared" si="0"/>
        <v>0.53129696776034208</v>
      </c>
    </row>
    <row r="32" spans="5:9" x14ac:dyDescent="0.25">
      <c r="E32" s="7" t="s">
        <v>4</v>
      </c>
      <c r="F32" s="4">
        <v>17</v>
      </c>
      <c r="G32" s="14">
        <v>3.9188610462627463E-2</v>
      </c>
      <c r="H32" s="14">
        <v>3.9779331799921158E-2</v>
      </c>
      <c r="I32">
        <f t="shared" si="0"/>
        <v>0.50852106397830021</v>
      </c>
    </row>
    <row r="33" spans="5:9" x14ac:dyDescent="0.25">
      <c r="E33" s="7" t="s">
        <v>4</v>
      </c>
      <c r="F33" s="4">
        <v>18</v>
      </c>
      <c r="G33" s="14">
        <v>3.9337031967429111E-2</v>
      </c>
      <c r="H33" s="14">
        <v>3.9916601885672337E-2</v>
      </c>
      <c r="I33">
        <f t="shared" si="0"/>
        <v>0.48748350064775503</v>
      </c>
    </row>
    <row r="34" spans="5:9" x14ac:dyDescent="0.25">
      <c r="E34" s="7" t="s">
        <v>4</v>
      </c>
      <c r="F34" s="4">
        <v>19</v>
      </c>
      <c r="G34" s="14">
        <v>3.9399853284236293E-2</v>
      </c>
      <c r="H34" s="14">
        <v>3.993803883478407E-2</v>
      </c>
      <c r="I34">
        <f t="shared" si="0"/>
        <v>0.46821731719561127</v>
      </c>
    </row>
    <row r="35" spans="5:9" x14ac:dyDescent="0.25">
      <c r="E35" s="7" t="s">
        <v>4</v>
      </c>
      <c r="F35" s="4">
        <v>20</v>
      </c>
      <c r="G35" s="14">
        <v>3.9379710678109067E-2</v>
      </c>
      <c r="H35" s="14">
        <v>3.9843318422166929E-2</v>
      </c>
      <c r="I35">
        <f t="shared" si="0"/>
        <v>0.45073920397055017</v>
      </c>
    </row>
    <row r="36" spans="5:9" x14ac:dyDescent="0.25">
      <c r="E36" s="7" t="s">
        <v>4</v>
      </c>
      <c r="F36" s="4">
        <v>21</v>
      </c>
      <c r="G36" s="14">
        <v>3.9282237236272249E-2</v>
      </c>
      <c r="H36" s="14">
        <v>3.9637379931453345E-2</v>
      </c>
      <c r="I36">
        <f t="shared" si="0"/>
        <v>0.43501055728793436</v>
      </c>
    </row>
    <row r="37" spans="5:9" x14ac:dyDescent="0.25">
      <c r="E37" s="7" t="s">
        <v>4</v>
      </c>
      <c r="F37" s="4">
        <v>22</v>
      </c>
      <c r="G37" s="14">
        <v>3.9125053334609666E-2</v>
      </c>
      <c r="H37" s="14">
        <v>3.9344568385813225E-2</v>
      </c>
      <c r="I37">
        <f t="shared" si="0"/>
        <v>0.42080720124178744</v>
      </c>
    </row>
    <row r="38" spans="5:9" x14ac:dyDescent="0.25">
      <c r="E38" s="7" t="s">
        <v>4</v>
      </c>
      <c r="F38" s="4">
        <v>23</v>
      </c>
      <c r="G38" s="14">
        <v>3.8928776171169924E-2</v>
      </c>
      <c r="H38" s="14">
        <v>3.8995197137509707E-2</v>
      </c>
      <c r="I38">
        <f t="shared" si="0"/>
        <v>0.40783624959874964</v>
      </c>
    </row>
    <row r="39" spans="5:9" x14ac:dyDescent="0.25">
      <c r="E39" s="7" t="s">
        <v>4</v>
      </c>
      <c r="F39" s="4">
        <v>24</v>
      </c>
      <c r="G39" s="14">
        <v>3.8714022944001607E-2</v>
      </c>
      <c r="H39" s="14">
        <v>3.8620625589468813E-2</v>
      </c>
      <c r="I39">
        <f t="shared" si="0"/>
        <v>0.39578069796423698</v>
      </c>
    </row>
    <row r="40" spans="5:9" x14ac:dyDescent="0.25">
      <c r="E40" s="7" t="s">
        <v>4</v>
      </c>
      <c r="F40" s="4">
        <v>25</v>
      </c>
      <c r="G40" s="14">
        <v>3.85014108511533E-2</v>
      </c>
      <c r="H40" s="14">
        <v>3.8252981088565036E-2</v>
      </c>
      <c r="I40">
        <f t="shared" si="0"/>
        <v>0.38430278779810056</v>
      </c>
    </row>
    <row r="41" spans="5:9" x14ac:dyDescent="0.25">
      <c r="E41" s="7" t="s">
        <v>4</v>
      </c>
      <c r="F41" s="4">
        <v>26</v>
      </c>
      <c r="G41" s="14">
        <v>3.830736227991989E-2</v>
      </c>
      <c r="H41" s="14">
        <v>3.7918234022938244E-2</v>
      </c>
      <c r="I41">
        <f t="shared" si="0"/>
        <v>0.37311295207739398</v>
      </c>
    </row>
    <row r="42" spans="5:9" x14ac:dyDescent="0.25">
      <c r="E42" s="7" t="s">
        <v>4</v>
      </c>
      <c r="F42" s="4">
        <v>27</v>
      </c>
      <c r="G42" s="14">
        <v>3.8131520374581354E-2</v>
      </c>
      <c r="H42" s="14">
        <v>3.7615324562622759E-2</v>
      </c>
      <c r="I42">
        <f t="shared" si="0"/>
        <v>0.36218006880628428</v>
      </c>
    </row>
    <row r="43" spans="5:9" x14ac:dyDescent="0.25">
      <c r="E43" s="7" t="s">
        <v>4</v>
      </c>
      <c r="F43" s="4">
        <v>28</v>
      </c>
      <c r="G43" s="14">
        <v>3.7969333468663997E-2</v>
      </c>
      <c r="H43" s="14">
        <v>3.7336339786421625E-2</v>
      </c>
      <c r="I43">
        <f t="shared" si="0"/>
        <v>0.35154501376165975</v>
      </c>
    </row>
    <row r="44" spans="5:9" x14ac:dyDescent="0.25">
      <c r="E44" s="7" t="s">
        <v>4</v>
      </c>
      <c r="F44" s="4">
        <v>29</v>
      </c>
      <c r="G44" s="14">
        <v>3.7816249895694078E-2</v>
      </c>
      <c r="H44" s="14">
        <v>3.7073339091050143E-2</v>
      </c>
      <c r="I44">
        <f t="shared" si="0"/>
        <v>0.34125447000928361</v>
      </c>
    </row>
    <row r="45" spans="5:9" x14ac:dyDescent="0.25">
      <c r="E45" s="7" t="s">
        <v>4</v>
      </c>
      <c r="F45" s="4">
        <v>30</v>
      </c>
      <c r="G45" s="14">
        <v>3.766771798919788E-2</v>
      </c>
      <c r="H45" s="14">
        <v>3.681830343628089E-2</v>
      </c>
      <c r="I45">
        <f t="shared" si="0"/>
        <v>0.33136025787983947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4E92F-26D9-4824-8C0B-6F2DD8014572}">
  <sheetPr codeName="Feuil3"/>
  <dimension ref="D8:F208"/>
  <sheetViews>
    <sheetView topLeftCell="A5" workbookViewId="0">
      <selection activeCell="S12" sqref="S12"/>
    </sheetView>
  </sheetViews>
  <sheetFormatPr baseColWidth="10" defaultRowHeight="15" x14ac:dyDescent="0.25"/>
  <sheetData>
    <row r="8" spans="4:6" x14ac:dyDescent="0.25">
      <c r="D8" t="s">
        <v>0</v>
      </c>
      <c r="E8" t="s">
        <v>14</v>
      </c>
      <c r="F8" t="s">
        <v>15</v>
      </c>
    </row>
    <row r="9" spans="4:6" x14ac:dyDescent="0.25">
      <c r="D9">
        <v>0.1</v>
      </c>
      <c r="E9" s="16">
        <v>2.8125669416972698E-2</v>
      </c>
      <c r="F9" s="16">
        <v>3.0742640919926068E-2</v>
      </c>
    </row>
    <row r="10" spans="4:6" x14ac:dyDescent="0.25">
      <c r="D10">
        <v>0.2</v>
      </c>
      <c r="E10" s="16">
        <v>2.4087192997557239E-2</v>
      </c>
      <c r="F10" s="16">
        <v>2.4731448605124662E-2</v>
      </c>
    </row>
    <row r="11" spans="4:6" x14ac:dyDescent="0.25">
      <c r="D11">
        <v>0.3</v>
      </c>
      <c r="E11" s="16">
        <v>2.0696033555942073E-2</v>
      </c>
      <c r="F11" s="16">
        <v>1.9166743894595051E-2</v>
      </c>
    </row>
    <row r="12" spans="4:6" x14ac:dyDescent="0.25">
      <c r="D12">
        <v>0.4</v>
      </c>
      <c r="E12" s="16">
        <v>1.9600582436869018E-2</v>
      </c>
      <c r="F12" s="16">
        <v>1.7734293116584254E-2</v>
      </c>
    </row>
    <row r="13" spans="4:6" x14ac:dyDescent="0.25">
      <c r="D13">
        <v>0.5</v>
      </c>
      <c r="E13" s="16">
        <v>1.9239613355805041E-2</v>
      </c>
      <c r="F13" s="16">
        <v>1.9239613355805041E-2</v>
      </c>
    </row>
    <row r="14" spans="4:6" x14ac:dyDescent="0.25">
      <c r="D14">
        <v>0.6</v>
      </c>
      <c r="E14" s="16">
        <v>1.9117835436673225E-2</v>
      </c>
      <c r="F14" s="16">
        <v>2.0154913018929577E-2</v>
      </c>
    </row>
    <row r="15" spans="4:6" x14ac:dyDescent="0.25">
      <c r="D15">
        <v>0.7</v>
      </c>
      <c r="E15" s="16">
        <v>1.9397862682848377E-2</v>
      </c>
      <c r="F15" s="16">
        <v>1.989531253480159E-2</v>
      </c>
    </row>
    <row r="16" spans="4:6" x14ac:dyDescent="0.25">
      <c r="D16">
        <v>0.8</v>
      </c>
      <c r="E16" s="16">
        <v>1.9894689469763804E-2</v>
      </c>
      <c r="F16" s="16">
        <v>1.9694992529047717E-2</v>
      </c>
    </row>
    <row r="17" spans="4:6" x14ac:dyDescent="0.25">
      <c r="D17">
        <v>0.9</v>
      </c>
      <c r="E17" s="16">
        <v>2.0483731740477573E-2</v>
      </c>
      <c r="F17" s="16">
        <v>2.0321336236374776E-2</v>
      </c>
    </row>
    <row r="18" spans="4:6" x14ac:dyDescent="0.25">
      <c r="D18">
        <v>1</v>
      </c>
      <c r="E18" s="16">
        <v>2.1308615206045545E-2</v>
      </c>
      <c r="F18" s="16">
        <v>2.1308615206045545E-2</v>
      </c>
    </row>
    <row r="19" spans="4:6" x14ac:dyDescent="0.25">
      <c r="D19">
        <v>1.1000000000000001</v>
      </c>
      <c r="E19" s="16">
        <v>2.1859935928069341E-2</v>
      </c>
      <c r="F19" s="16">
        <v>2.2066248919004217E-2</v>
      </c>
    </row>
    <row r="20" spans="4:6" x14ac:dyDescent="0.25">
      <c r="D20">
        <v>1.2</v>
      </c>
      <c r="E20" s="16">
        <v>2.2527994489968783E-2</v>
      </c>
      <c r="F20" s="16">
        <v>2.2618154444320027E-2</v>
      </c>
    </row>
    <row r="21" spans="4:6" x14ac:dyDescent="0.25">
      <c r="D21">
        <v>1.3</v>
      </c>
      <c r="E21" s="16">
        <v>2.3283183276316066E-2</v>
      </c>
      <c r="F21" s="16">
        <v>2.3252415226036938E-2</v>
      </c>
    </row>
    <row r="22" spans="4:6" x14ac:dyDescent="0.25">
      <c r="D22">
        <v>1.4</v>
      </c>
      <c r="E22" s="16">
        <v>2.4105690245412426E-2</v>
      </c>
      <c r="F22" s="16">
        <v>2.4095816051396213E-2</v>
      </c>
    </row>
    <row r="23" spans="4:6" x14ac:dyDescent="0.25">
      <c r="D23">
        <v>1.5</v>
      </c>
      <c r="E23" s="16">
        <v>2.5018613163129366E-2</v>
      </c>
      <c r="F23" s="16">
        <v>2.5018613163129366E-2</v>
      </c>
    </row>
    <row r="24" spans="4:6" x14ac:dyDescent="0.25">
      <c r="D24">
        <v>1.6</v>
      </c>
      <c r="E24" s="16">
        <v>2.5805619098064447E-2</v>
      </c>
      <c r="F24" s="16">
        <v>2.5881981596250547E-2</v>
      </c>
    </row>
    <row r="25" spans="4:6" x14ac:dyDescent="0.25">
      <c r="D25">
        <v>1.7</v>
      </c>
      <c r="E25" s="16">
        <v>2.6647464904047347E-2</v>
      </c>
      <c r="F25" s="16">
        <v>2.6689156225740085E-2</v>
      </c>
    </row>
    <row r="26" spans="4:6" x14ac:dyDescent="0.25">
      <c r="D26">
        <v>1.8</v>
      </c>
      <c r="E26" s="16">
        <v>2.7458635030997769E-2</v>
      </c>
      <c r="F26" s="16">
        <v>2.7494725057412239E-2</v>
      </c>
    </row>
    <row r="27" spans="4:6" x14ac:dyDescent="0.25">
      <c r="D27">
        <v>1.9</v>
      </c>
      <c r="E27" s="16">
        <v>2.822158534145558E-2</v>
      </c>
      <c r="F27" s="16">
        <v>2.8296367495562968E-2</v>
      </c>
    </row>
    <row r="28" spans="4:6" x14ac:dyDescent="0.25">
      <c r="D28">
        <v>2</v>
      </c>
      <c r="E28" s="16">
        <v>2.9016026659476779E-2</v>
      </c>
      <c r="F28" s="16">
        <v>2.9016026659476779E-2</v>
      </c>
    </row>
    <row r="29" spans="4:6" x14ac:dyDescent="0.25">
      <c r="D29">
        <v>2.1</v>
      </c>
      <c r="E29" s="16">
        <v>2.9524503965372872E-2</v>
      </c>
      <c r="F29" s="16">
        <v>2.9588768710300251E-2</v>
      </c>
    </row>
    <row r="30" spans="4:6" x14ac:dyDescent="0.25">
      <c r="D30">
        <v>2.2000000000000002</v>
      </c>
      <c r="E30" s="16">
        <v>3.0034042993213994E-2</v>
      </c>
      <c r="F30" s="16">
        <v>3.0061992615208588E-2</v>
      </c>
    </row>
    <row r="31" spans="4:6" x14ac:dyDescent="0.25">
      <c r="D31">
        <v>2.2999999999999998</v>
      </c>
      <c r="E31" s="16">
        <v>3.0543814878526199E-2</v>
      </c>
      <c r="F31" s="16">
        <v>3.0524915094761518E-2</v>
      </c>
    </row>
    <row r="32" spans="4:6" x14ac:dyDescent="0.25">
      <c r="D32">
        <v>2.4</v>
      </c>
      <c r="E32" s="16">
        <v>3.1053648754251206E-2</v>
      </c>
      <c r="F32" s="16">
        <v>3.1026661642005848E-2</v>
      </c>
    </row>
    <row r="33" spans="4:6" x14ac:dyDescent="0.25">
      <c r="D33">
        <v>2.5</v>
      </c>
      <c r="E33" s="16">
        <v>3.156431710147789E-2</v>
      </c>
      <c r="F33" s="16">
        <v>3.156431710147789E-2</v>
      </c>
    </row>
    <row r="34" spans="4:6" x14ac:dyDescent="0.25">
      <c r="D34">
        <v>2.6</v>
      </c>
      <c r="E34" s="16">
        <v>3.20794284358632E-2</v>
      </c>
      <c r="F34" s="16">
        <v>3.2121043117812498E-2</v>
      </c>
    </row>
    <row r="35" spans="4:6" x14ac:dyDescent="0.25">
      <c r="D35">
        <v>2.7</v>
      </c>
      <c r="E35" s="16">
        <v>3.2595561445114996E-2</v>
      </c>
      <c r="F35" s="16">
        <v>3.263635335493742E-2</v>
      </c>
    </row>
    <row r="36" spans="4:6" x14ac:dyDescent="0.25">
      <c r="D36">
        <v>2.8</v>
      </c>
      <c r="E36" s="16">
        <v>3.2813365038260045E-2</v>
      </c>
      <c r="F36" s="16">
        <v>3.3033669403081944E-2</v>
      </c>
    </row>
    <row r="37" spans="4:6" x14ac:dyDescent="0.25">
      <c r="D37">
        <v>2.9</v>
      </c>
      <c r="E37" s="16">
        <v>3.2703289490964238E-2</v>
      </c>
      <c r="F37" s="16">
        <v>3.3297223036734103E-2</v>
      </c>
    </row>
    <row r="38" spans="4:6" x14ac:dyDescent="0.25">
      <c r="D38">
        <v>3</v>
      </c>
      <c r="E38" s="16">
        <v>3.2554839031917027E-2</v>
      </c>
      <c r="F38" s="16">
        <v>3.3483727372352945E-2</v>
      </c>
    </row>
    <row r="39" spans="4:6" x14ac:dyDescent="0.25">
      <c r="D39">
        <v>3.1</v>
      </c>
      <c r="E39" s="16">
        <v>3.2962889086722846E-2</v>
      </c>
      <c r="F39" s="16">
        <v>3.3649994562417795E-2</v>
      </c>
    </row>
    <row r="40" spans="4:6" x14ac:dyDescent="0.25">
      <c r="D40">
        <v>3.2</v>
      </c>
      <c r="E40" s="16">
        <v>3.3370980431691066E-2</v>
      </c>
      <c r="F40" s="16">
        <v>3.3810029735810154E-2</v>
      </c>
    </row>
    <row r="41" spans="4:6" x14ac:dyDescent="0.25">
      <c r="D41">
        <v>3.3</v>
      </c>
      <c r="E41" s="16">
        <v>3.3779113071000566E-2</v>
      </c>
      <c r="F41" s="16">
        <v>3.3966342520125536E-2</v>
      </c>
    </row>
    <row r="42" spans="4:6" x14ac:dyDescent="0.25">
      <c r="D42">
        <v>3.4</v>
      </c>
      <c r="E42" s="16">
        <v>3.4187287008831113E-2</v>
      </c>
      <c r="F42" s="16">
        <v>3.4121442948557679E-2</v>
      </c>
    </row>
    <row r="43" spans="4:6" x14ac:dyDescent="0.25">
      <c r="D43">
        <v>3.5</v>
      </c>
      <c r="E43" s="16">
        <v>3.4595502249358923E-2</v>
      </c>
      <c r="F43" s="16">
        <v>3.4277841444545487E-2</v>
      </c>
    </row>
    <row r="44" spans="4:6" x14ac:dyDescent="0.25">
      <c r="D44">
        <v>3.6</v>
      </c>
      <c r="E44" s="16">
        <v>3.5003758796765538E-2</v>
      </c>
      <c r="F44" s="16">
        <v>3.4438048822040379E-2</v>
      </c>
    </row>
    <row r="45" spans="4:6" x14ac:dyDescent="0.25">
      <c r="D45">
        <v>3.7</v>
      </c>
      <c r="E45" s="16">
        <v>3.541205665522984E-2</v>
      </c>
      <c r="F45" s="16">
        <v>3.4604576301397572E-2</v>
      </c>
    </row>
    <row r="46" spans="4:6" x14ac:dyDescent="0.25">
      <c r="D46">
        <v>3.8</v>
      </c>
      <c r="E46" s="16">
        <v>3.5466862003565858E-2</v>
      </c>
      <c r="F46" s="16">
        <v>3.4779854459619841E-2</v>
      </c>
    </row>
    <row r="47" spans="4:6" x14ac:dyDescent="0.25">
      <c r="D47">
        <v>3.9</v>
      </c>
      <c r="E47" s="16">
        <v>3.5141975918638657E-2</v>
      </c>
      <c r="F47" s="16">
        <v>3.4964395332025333E-2</v>
      </c>
    </row>
    <row r="48" spans="4:6" x14ac:dyDescent="0.25">
      <c r="D48">
        <v>4</v>
      </c>
      <c r="E48" s="16">
        <v>3.4782206370611135E-2</v>
      </c>
      <c r="F48" s="16">
        <v>3.5156561753355575E-2</v>
      </c>
    </row>
    <row r="49" spans="4:6" x14ac:dyDescent="0.25">
      <c r="D49">
        <v>4.0999999999999996</v>
      </c>
      <c r="E49" s="16">
        <v>3.5103200253488787E-2</v>
      </c>
      <c r="F49" s="16">
        <v>3.535490951751985E-2</v>
      </c>
    </row>
    <row r="50" spans="4:6" x14ac:dyDescent="0.25">
      <c r="D50">
        <v>4.2</v>
      </c>
      <c r="E50" s="16">
        <v>3.5424219673574342E-2</v>
      </c>
      <c r="F50" s="16">
        <v>3.5560365001544803E-2</v>
      </c>
    </row>
    <row r="51" spans="4:6" x14ac:dyDescent="0.25">
      <c r="D51">
        <v>4.3</v>
      </c>
      <c r="E51" s="16">
        <v>3.5745264632899065E-2</v>
      </c>
      <c r="F51" s="16">
        <v>3.5774479585496621E-2</v>
      </c>
    </row>
    <row r="52" spans="4:6" x14ac:dyDescent="0.25">
      <c r="D52">
        <v>4.4000000000000004</v>
      </c>
      <c r="E52" s="16">
        <v>3.6066335133495997E-2</v>
      </c>
      <c r="F52" s="16">
        <v>3.5998805028121694E-2</v>
      </c>
    </row>
    <row r="53" spans="4:6" x14ac:dyDescent="0.25">
      <c r="D53">
        <v>4.5</v>
      </c>
      <c r="E53" s="16">
        <v>3.6387431177396401E-2</v>
      </c>
      <c r="F53" s="16">
        <v>3.6234893503110044E-2</v>
      </c>
    </row>
    <row r="54" spans="4:6" x14ac:dyDescent="0.25">
      <c r="D54">
        <v>4.5999999999999996</v>
      </c>
      <c r="E54" s="16">
        <v>3.670855276663243E-2</v>
      </c>
      <c r="F54" s="16">
        <v>3.6484297641323771E-2</v>
      </c>
    </row>
    <row r="55" spans="4:6" x14ac:dyDescent="0.25">
      <c r="D55">
        <v>4.7</v>
      </c>
      <c r="E55" s="16">
        <v>3.7029699903236235E-2</v>
      </c>
      <c r="F55" s="16">
        <v>3.6748570579004713E-2</v>
      </c>
    </row>
    <row r="56" spans="4:6" x14ac:dyDescent="0.25">
      <c r="D56">
        <v>4.8</v>
      </c>
      <c r="E56" s="16">
        <v>3.7228919766524982E-2</v>
      </c>
      <c r="F56" s="16">
        <v>3.7028983507137347E-2</v>
      </c>
    </row>
    <row r="57" spans="4:6" x14ac:dyDescent="0.25">
      <c r="D57">
        <v>4.9000000000000004</v>
      </c>
      <c r="E57" s="16">
        <v>3.7298949559100514E-2</v>
      </c>
      <c r="F57" s="16">
        <v>3.7320159015398424E-2</v>
      </c>
    </row>
    <row r="58" spans="4:6" x14ac:dyDescent="0.25">
      <c r="D58">
        <v>5</v>
      </c>
      <c r="E58" s="16">
        <v>3.735932075922932E-2</v>
      </c>
      <c r="F58" s="16">
        <v>3.7609425227811855E-2</v>
      </c>
    </row>
    <row r="59" spans="4:6" x14ac:dyDescent="0.25">
      <c r="D59">
        <v>5.0999999999999996</v>
      </c>
      <c r="E59" s="16">
        <v>3.7656368330681644E-2</v>
      </c>
      <c r="F59" s="16">
        <v>3.7885038290963458E-2</v>
      </c>
    </row>
    <row r="60" spans="4:6" x14ac:dyDescent="0.25">
      <c r="D60">
        <v>5.2</v>
      </c>
      <c r="E60" s="16">
        <v>3.7953437757326292E-2</v>
      </c>
      <c r="F60" s="16">
        <v>3.8143667161019579E-2</v>
      </c>
    </row>
    <row r="61" spans="4:6" x14ac:dyDescent="0.25">
      <c r="D61">
        <v>5.3</v>
      </c>
      <c r="E61" s="16">
        <v>3.8250529040769088E-2</v>
      </c>
      <c r="F61" s="16">
        <v>3.8384173774646868E-2</v>
      </c>
    </row>
    <row r="62" spans="4:6" x14ac:dyDescent="0.25">
      <c r="D62">
        <v>5.4</v>
      </c>
      <c r="E62" s="16">
        <v>3.8547642182620301E-2</v>
      </c>
      <c r="F62" s="16">
        <v>3.8605420032294724E-2</v>
      </c>
    </row>
    <row r="63" spans="4:6" x14ac:dyDescent="0.25">
      <c r="D63">
        <v>5.5</v>
      </c>
      <c r="E63" s="16">
        <v>3.8844777184485757E-2</v>
      </c>
      <c r="F63" s="16">
        <v>3.8806267850805654E-2</v>
      </c>
    </row>
    <row r="64" spans="4:6" x14ac:dyDescent="0.25">
      <c r="D64">
        <v>5.6</v>
      </c>
      <c r="E64" s="16">
        <v>3.9141934047975724E-2</v>
      </c>
      <c r="F64" s="16">
        <v>3.8985579219213307E-2</v>
      </c>
    </row>
    <row r="65" spans="4:6" x14ac:dyDescent="0.25">
      <c r="D65">
        <v>5.7</v>
      </c>
      <c r="E65" s="16">
        <v>3.9439112774697804E-2</v>
      </c>
      <c r="F65" s="16">
        <v>3.9142216257737061E-2</v>
      </c>
    </row>
    <row r="66" spans="4:6" x14ac:dyDescent="0.25">
      <c r="D66">
        <v>5.8</v>
      </c>
      <c r="E66" s="16">
        <v>3.9475607838997284E-2</v>
      </c>
      <c r="F66" s="16">
        <v>3.927527474903858E-2</v>
      </c>
    </row>
    <row r="67" spans="4:6" x14ac:dyDescent="0.25">
      <c r="D67">
        <v>5.9</v>
      </c>
      <c r="E67" s="16">
        <v>3.923848578371647E-2</v>
      </c>
      <c r="F67" s="16">
        <v>3.9389324891627275E-2</v>
      </c>
    </row>
    <row r="68" spans="4:6" x14ac:dyDescent="0.25">
      <c r="D68">
        <v>6</v>
      </c>
      <c r="E68" s="16">
        <v>3.8984143535187421E-2</v>
      </c>
      <c r="F68" s="16">
        <v>3.9494855799702577E-2</v>
      </c>
    </row>
    <row r="69" spans="4:6" x14ac:dyDescent="0.25">
      <c r="D69">
        <v>6.1</v>
      </c>
      <c r="E69" s="16">
        <v>3.9238222522781641E-2</v>
      </c>
      <c r="F69" s="16">
        <v>3.9601445083551567E-2</v>
      </c>
    </row>
    <row r="70" spans="4:6" x14ac:dyDescent="0.25">
      <c r="D70">
        <v>6.2</v>
      </c>
      <c r="E70" s="16">
        <v>3.9492317493635021E-2</v>
      </c>
      <c r="F70" s="16">
        <v>3.9711631813643677E-2</v>
      </c>
    </row>
    <row r="71" spans="4:6" x14ac:dyDescent="0.25">
      <c r="D71">
        <v>6.3</v>
      </c>
      <c r="E71" s="16">
        <v>3.974642844875298E-2</v>
      </c>
      <c r="F71" s="16">
        <v>3.9826133650761264E-2</v>
      </c>
    </row>
    <row r="72" spans="4:6" x14ac:dyDescent="0.25">
      <c r="D72">
        <v>6.4</v>
      </c>
      <c r="E72" s="16">
        <v>4.0000555389141823E-2</v>
      </c>
      <c r="F72" s="16">
        <v>3.9945668349443686E-2</v>
      </c>
    </row>
    <row r="73" spans="4:6" x14ac:dyDescent="0.25">
      <c r="D73">
        <v>6.5</v>
      </c>
      <c r="E73" s="16">
        <v>4.0254698315806969E-2</v>
      </c>
      <c r="F73" s="16">
        <v>4.0070953766282891E-2</v>
      </c>
    </row>
    <row r="74" spans="4:6" x14ac:dyDescent="0.25">
      <c r="D74">
        <v>6.6</v>
      </c>
      <c r="E74" s="16">
        <v>4.0508857229753836E-2</v>
      </c>
      <c r="F74" s="16">
        <v>4.0202707869504195E-2</v>
      </c>
    </row>
    <row r="75" spans="4:6" x14ac:dyDescent="0.25">
      <c r="D75">
        <v>6.7</v>
      </c>
      <c r="E75" s="16">
        <v>4.0763032131987842E-2</v>
      </c>
      <c r="F75" s="16">
        <v>4.0341648749816272E-2</v>
      </c>
    </row>
    <row r="76" spans="4:6" x14ac:dyDescent="0.25">
      <c r="D76">
        <v>6.8</v>
      </c>
      <c r="E76" s="16">
        <v>4.0835373091066884E-2</v>
      </c>
      <c r="F76" s="16">
        <v>4.0488439573988622E-2</v>
      </c>
    </row>
    <row r="77" spans="4:6" x14ac:dyDescent="0.25">
      <c r="D77">
        <v>6.9</v>
      </c>
      <c r="E77" s="16">
        <v>4.0718132436984078E-2</v>
      </c>
      <c r="F77" s="16">
        <v>4.0642456165911334E-2</v>
      </c>
    </row>
    <row r="78" spans="4:6" x14ac:dyDescent="0.25">
      <c r="D78">
        <v>7</v>
      </c>
      <c r="E78" s="16">
        <v>4.0590578301876512E-2</v>
      </c>
      <c r="F78" s="16">
        <v>4.0801696943280952E-2</v>
      </c>
    </row>
    <row r="79" spans="4:6" x14ac:dyDescent="0.25">
      <c r="D79">
        <v>7.1</v>
      </c>
      <c r="E79" s="16">
        <v>4.081896463106105E-2</v>
      </c>
      <c r="F79" s="16">
        <v>4.0964399430837517E-2</v>
      </c>
    </row>
    <row r="80" spans="4:6" x14ac:dyDescent="0.25">
      <c r="D80">
        <v>7.2</v>
      </c>
      <c r="E80" s="16">
        <v>4.1047363869326503E-2</v>
      </c>
      <c r="F80" s="16">
        <v>4.1130475552792589E-2</v>
      </c>
    </row>
    <row r="81" spans="4:6" x14ac:dyDescent="0.25">
      <c r="D81">
        <v>7.3</v>
      </c>
      <c r="E81" s="16">
        <v>4.1275776017404731E-2</v>
      </c>
      <c r="F81" s="16">
        <v>4.1300268410816798E-2</v>
      </c>
    </row>
    <row r="82" spans="4:6" x14ac:dyDescent="0.25">
      <c r="D82">
        <v>7.4</v>
      </c>
      <c r="E82" s="16">
        <v>4.1504201076024039E-2</v>
      </c>
      <c r="F82" s="16">
        <v>4.1474121173822986E-2</v>
      </c>
    </row>
    <row r="83" spans="4:6" x14ac:dyDescent="0.25">
      <c r="D83">
        <v>7.5</v>
      </c>
      <c r="E83" s="16">
        <v>4.1732639045913622E-2</v>
      </c>
      <c r="F83" s="16">
        <v>4.1652377081274672E-2</v>
      </c>
    </row>
    <row r="84" spans="4:6" x14ac:dyDescent="0.25">
      <c r="D84">
        <v>7.6</v>
      </c>
      <c r="E84" s="16">
        <v>4.1961089927804451E-2</v>
      </c>
      <c r="F84" s="16">
        <v>4.1835379446763632E-2</v>
      </c>
    </row>
    <row r="85" spans="4:6" x14ac:dyDescent="0.25">
      <c r="D85">
        <v>7.7</v>
      </c>
      <c r="E85" s="16">
        <v>4.2189553722426609E-2</v>
      </c>
      <c r="F85" s="16">
        <v>4.2023471661906342E-2</v>
      </c>
    </row>
    <row r="86" spans="4:6" x14ac:dyDescent="0.25">
      <c r="D86">
        <v>7.8</v>
      </c>
      <c r="E86" s="16">
        <v>4.2333843134430005E-2</v>
      </c>
      <c r="F86" s="16">
        <v>4.221689821550445E-2</v>
      </c>
    </row>
    <row r="87" spans="4:6" x14ac:dyDescent="0.25">
      <c r="D87">
        <v>7.9</v>
      </c>
      <c r="E87" s="16">
        <v>4.2390811721573662E-2</v>
      </c>
      <c r="F87" s="16">
        <v>4.241359369547304E-2</v>
      </c>
    </row>
    <row r="88" spans="4:6" x14ac:dyDescent="0.25">
      <c r="D88">
        <v>8</v>
      </c>
      <c r="E88" s="16">
        <v>4.2443597819709744E-2</v>
      </c>
      <c r="F88" s="16">
        <v>4.2609040799240105E-2</v>
      </c>
    </row>
    <row r="89" spans="4:6" x14ac:dyDescent="0.25">
      <c r="D89">
        <v>8.1</v>
      </c>
      <c r="E89" s="16">
        <v>4.2661630085278013E-2</v>
      </c>
      <c r="F89" s="16">
        <v>4.2799184375329702E-2</v>
      </c>
    </row>
    <row r="90" spans="4:6" x14ac:dyDescent="0.25">
      <c r="D90">
        <v>8.1999999999999993</v>
      </c>
      <c r="E90" s="16">
        <v>4.2879674110583466E-2</v>
      </c>
      <c r="F90" s="16">
        <v>4.2982998898588143E-2</v>
      </c>
    </row>
    <row r="91" spans="4:6" x14ac:dyDescent="0.25">
      <c r="D91">
        <v>8.3000000000000007</v>
      </c>
      <c r="E91" s="16">
        <v>4.3097729896257597E-2</v>
      </c>
      <c r="F91" s="16">
        <v>4.3160235990042928E-2</v>
      </c>
    </row>
    <row r="92" spans="4:6" x14ac:dyDescent="0.25">
      <c r="D92">
        <v>8.4</v>
      </c>
      <c r="E92" s="16">
        <v>4.3315797442936343E-2</v>
      </c>
      <c r="F92" s="16">
        <v>4.3330647258634336E-2</v>
      </c>
    </row>
    <row r="93" spans="4:6" x14ac:dyDescent="0.25">
      <c r="D93">
        <v>8.5</v>
      </c>
      <c r="E93" s="16">
        <v>4.3533876751253864E-2</v>
      </c>
      <c r="F93" s="16">
        <v>4.3493984305323252E-2</v>
      </c>
    </row>
    <row r="94" spans="4:6" x14ac:dyDescent="0.25">
      <c r="D94">
        <v>8.6</v>
      </c>
      <c r="E94" s="16">
        <v>4.3751967821845206E-2</v>
      </c>
      <c r="F94" s="16">
        <v>4.3649998727352646E-2</v>
      </c>
    </row>
    <row r="95" spans="4:6" x14ac:dyDescent="0.25">
      <c r="D95">
        <v>8.6999999999999993</v>
      </c>
      <c r="E95" s="16">
        <v>4.397007065534364E-2</v>
      </c>
      <c r="F95" s="16">
        <v>4.3798442122663594E-2</v>
      </c>
    </row>
    <row r="96" spans="4:6" x14ac:dyDescent="0.25">
      <c r="D96">
        <v>8.8000000000000007</v>
      </c>
      <c r="E96" s="16">
        <v>4.4070120396329848E-2</v>
      </c>
      <c r="F96" s="16">
        <v>4.3939176377509881E-2</v>
      </c>
    </row>
    <row r="97" spans="4:6" x14ac:dyDescent="0.25">
      <c r="D97">
        <v>8.9</v>
      </c>
      <c r="E97" s="16">
        <v>4.404819460671483E-2</v>
      </c>
      <c r="F97" s="16">
        <v>4.407463290001612E-2</v>
      </c>
    </row>
    <row r="98" spans="4:6" x14ac:dyDescent="0.25">
      <c r="D98">
        <v>9</v>
      </c>
      <c r="E98" s="16">
        <v>4.4021050735917555E-2</v>
      </c>
      <c r="F98" s="16">
        <v>4.4209953184017436E-2</v>
      </c>
    </row>
    <row r="99" spans="4:6" x14ac:dyDescent="0.25">
      <c r="D99">
        <v>9.1</v>
      </c>
      <c r="E99" s="16">
        <v>4.4226121908305771E-2</v>
      </c>
      <c r="F99" s="16">
        <v>4.4349735259539003E-2</v>
      </c>
    </row>
    <row r="100" spans="4:6" x14ac:dyDescent="0.25">
      <c r="D100">
        <v>9.1999999999999993</v>
      </c>
      <c r="E100" s="16">
        <v>4.4431203479796899E-2</v>
      </c>
      <c r="F100" s="16">
        <v>4.4495184759691497E-2</v>
      </c>
    </row>
    <row r="101" spans="4:6" x14ac:dyDescent="0.25">
      <c r="D101">
        <v>9.3000000000000007</v>
      </c>
      <c r="E101" s="16">
        <v>4.4636295450914965E-2</v>
      </c>
      <c r="F101" s="16">
        <v>4.4646639718682657E-2</v>
      </c>
    </row>
    <row r="102" spans="4:6" x14ac:dyDescent="0.25">
      <c r="D102">
        <v>9.4</v>
      </c>
      <c r="E102" s="16">
        <v>4.484139782219021E-2</v>
      </c>
      <c r="F102" s="16">
        <v>4.4804438247035172E-2</v>
      </c>
    </row>
    <row r="103" spans="4:6" x14ac:dyDescent="0.25">
      <c r="D103">
        <v>9.5</v>
      </c>
      <c r="E103" s="16">
        <v>4.5046510594149325E-2</v>
      </c>
      <c r="F103" s="16">
        <v>4.4968918536747005E-2</v>
      </c>
    </row>
    <row r="104" spans="4:6" x14ac:dyDescent="0.25">
      <c r="D104">
        <v>9.6</v>
      </c>
      <c r="E104" s="16">
        <v>4.5251633767318999E-2</v>
      </c>
      <c r="F104" s="16">
        <v>4.5140418866727927E-2</v>
      </c>
    </row>
    <row r="105" spans="4:6" x14ac:dyDescent="0.25">
      <c r="D105">
        <v>9.6999999999999993</v>
      </c>
      <c r="E105" s="16">
        <v>4.5456767342226811E-2</v>
      </c>
      <c r="F105" s="16">
        <v>4.5319277608530051E-2</v>
      </c>
    </row>
    <row r="106" spans="4:6" x14ac:dyDescent="0.25">
      <c r="D106">
        <v>9.8000000000000007</v>
      </c>
      <c r="E106" s="16">
        <v>4.5604129248437708E-2</v>
      </c>
      <c r="F106" s="16">
        <v>4.5505715208662423E-2</v>
      </c>
    </row>
    <row r="107" spans="4:6" x14ac:dyDescent="0.25">
      <c r="D107">
        <v>9.9</v>
      </c>
      <c r="E107" s="16">
        <v>4.5691988308618647E-2</v>
      </c>
      <c r="F107" s="16">
        <v>4.5697205812552433E-2</v>
      </c>
    </row>
    <row r="108" spans="4:6" x14ac:dyDescent="0.25">
      <c r="D108">
        <v>10</v>
      </c>
      <c r="E108" s="16">
        <v>4.5777549410116691E-2</v>
      </c>
      <c r="F108" s="16">
        <v>4.5888341536121757E-2</v>
      </c>
    </row>
    <row r="109" spans="4:6" x14ac:dyDescent="0.25">
      <c r="D109">
        <v>10.1</v>
      </c>
      <c r="E109" s="16">
        <v>4.5976959701386377E-2</v>
      </c>
      <c r="F109" s="16">
        <v>4.6074320124313672E-2</v>
      </c>
    </row>
    <row r="110" spans="4:6" x14ac:dyDescent="0.25">
      <c r="D110">
        <v>10.199999999999999</v>
      </c>
      <c r="E110" s="16">
        <v>4.6176379821289082E-2</v>
      </c>
      <c r="F110" s="16">
        <v>4.6253984353671562E-2</v>
      </c>
    </row>
    <row r="111" spans="4:6" x14ac:dyDescent="0.25">
      <c r="D111">
        <v>10.3</v>
      </c>
      <c r="E111" s="16">
        <v>4.637580977030975E-2</v>
      </c>
      <c r="F111" s="16">
        <v>4.6427107130374345E-2</v>
      </c>
    </row>
    <row r="112" spans="4:6" x14ac:dyDescent="0.25">
      <c r="D112">
        <v>10.4</v>
      </c>
      <c r="E112" s="16">
        <v>4.6575249548933328E-2</v>
      </c>
      <c r="F112" s="16">
        <v>4.6593461352886223E-2</v>
      </c>
    </row>
    <row r="113" spans="4:6" x14ac:dyDescent="0.25">
      <c r="D113">
        <v>10.5</v>
      </c>
      <c r="E113" s="16">
        <v>4.6774699157642985E-2</v>
      </c>
      <c r="F113" s="16">
        <v>4.6752819915687915E-2</v>
      </c>
    </row>
    <row r="114" spans="4:6" x14ac:dyDescent="0.25">
      <c r="D114">
        <v>10.6</v>
      </c>
      <c r="E114" s="16">
        <v>4.6974158596923665E-2</v>
      </c>
      <c r="F114" s="16">
        <v>4.6904955713131358E-2</v>
      </c>
    </row>
    <row r="115" spans="4:6" x14ac:dyDescent="0.25">
      <c r="D115">
        <v>10.7</v>
      </c>
      <c r="E115" s="16">
        <v>4.7173627867261203E-2</v>
      </c>
      <c r="F115" s="16">
        <v>4.7049641643422291E-2</v>
      </c>
    </row>
    <row r="116" spans="4:6" x14ac:dyDescent="0.25">
      <c r="D116">
        <v>10.8</v>
      </c>
      <c r="E116" s="16">
        <v>4.7212318854639612E-2</v>
      </c>
      <c r="F116" s="16">
        <v>4.7186590290661634E-2</v>
      </c>
    </row>
    <row r="117" spans="4:6" x14ac:dyDescent="0.25">
      <c r="D117">
        <v>10.9</v>
      </c>
      <c r="E117" s="16">
        <v>4.7085861880461266E-2</v>
      </c>
      <c r="F117" s="16">
        <v>4.7314112052259993E-2</v>
      </c>
    </row>
    <row r="118" spans="4:6" x14ac:dyDescent="0.25">
      <c r="D118">
        <v>11</v>
      </c>
      <c r="E118" s="16">
        <v>4.6953588956756498E-2</v>
      </c>
      <c r="F118" s="16">
        <v>4.7429052158057594E-2</v>
      </c>
    </row>
    <row r="119" spans="4:6" x14ac:dyDescent="0.25">
      <c r="D119">
        <v>11.1</v>
      </c>
      <c r="E119" s="16">
        <v>4.7138506780908251E-2</v>
      </c>
      <c r="F119" s="16">
        <v>4.7528575777826099E-2</v>
      </c>
    </row>
    <row r="120" spans="4:6" x14ac:dyDescent="0.25">
      <c r="D120">
        <v>11.2</v>
      </c>
      <c r="E120" s="16">
        <v>4.7323433054526909E-2</v>
      </c>
      <c r="F120" s="16">
        <v>4.7611717320194202E-2</v>
      </c>
    </row>
    <row r="121" spans="4:6" x14ac:dyDescent="0.25">
      <c r="D121">
        <v>11.3</v>
      </c>
      <c r="E121" s="16">
        <v>4.7508367777998828E-2</v>
      </c>
      <c r="F121" s="16">
        <v>4.7677987389358911E-2</v>
      </c>
    </row>
    <row r="122" spans="4:6" x14ac:dyDescent="0.25">
      <c r="D122">
        <v>11.4</v>
      </c>
      <c r="E122" s="16">
        <v>4.7693310951709478E-2</v>
      </c>
      <c r="F122" s="16">
        <v>4.7726896764487492E-2</v>
      </c>
    </row>
    <row r="123" spans="4:6" x14ac:dyDescent="0.25">
      <c r="D123">
        <v>11.5</v>
      </c>
      <c r="E123" s="16">
        <v>4.7878262576046104E-2</v>
      </c>
      <c r="F123" s="16">
        <v>4.7757956420395153E-2</v>
      </c>
    </row>
    <row r="124" spans="4:6" x14ac:dyDescent="0.25">
      <c r="D124">
        <v>11.6</v>
      </c>
      <c r="E124" s="16">
        <v>4.8063222651394177E-2</v>
      </c>
      <c r="F124" s="16">
        <v>4.7770677548801821E-2</v>
      </c>
    </row>
    <row r="125" spans="4:6" x14ac:dyDescent="0.25">
      <c r="D125">
        <v>11.7</v>
      </c>
      <c r="E125" s="16">
        <v>4.8248191178140942E-2</v>
      </c>
      <c r="F125" s="16">
        <v>4.7764571580170667E-2</v>
      </c>
    </row>
    <row r="126" spans="4:6" x14ac:dyDescent="0.25">
      <c r="D126">
        <v>11.8</v>
      </c>
      <c r="E126" s="16">
        <v>4.8053320054351367E-2</v>
      </c>
      <c r="F126" s="16">
        <v>4.7739308952881032E-2</v>
      </c>
    </row>
    <row r="127" spans="4:6" x14ac:dyDescent="0.25">
      <c r="D127">
        <v>11.9</v>
      </c>
      <c r="E127" s="16">
        <v>4.7469209129369361E-2</v>
      </c>
      <c r="F127" s="16">
        <v>4.7698247088449719E-2</v>
      </c>
    </row>
    <row r="128" spans="4:6" x14ac:dyDescent="0.25">
      <c r="D128">
        <v>12</v>
      </c>
      <c r="E128" s="16">
        <v>4.6872577672190552E-2</v>
      </c>
      <c r="F128" s="16">
        <v>4.7648581644457622E-2</v>
      </c>
    </row>
    <row r="129" spans="4:6" x14ac:dyDescent="0.25">
      <c r="D129">
        <v>12.1</v>
      </c>
      <c r="E129" s="16">
        <v>4.7025978486421316E-2</v>
      </c>
      <c r="F129" s="16">
        <v>4.7596643180587428E-2</v>
      </c>
    </row>
    <row r="130" spans="4:6" x14ac:dyDescent="0.25">
      <c r="D130">
        <v>12.2</v>
      </c>
      <c r="E130" s="16">
        <v>4.7179385115466488E-2</v>
      </c>
      <c r="F130" s="16">
        <v>4.7543829840450691E-2</v>
      </c>
    </row>
    <row r="131" spans="4:6" x14ac:dyDescent="0.25">
      <c r="D131">
        <v>12.3</v>
      </c>
      <c r="E131" s="16">
        <v>4.7332797559545448E-2</v>
      </c>
      <c r="F131" s="16">
        <v>4.7490285608097871E-2</v>
      </c>
    </row>
    <row r="132" spans="4:6" x14ac:dyDescent="0.25">
      <c r="D132">
        <v>12.4</v>
      </c>
      <c r="E132" s="16">
        <v>4.7486215818878463E-2</v>
      </c>
      <c r="F132" s="16">
        <v>4.7436154460413604E-2</v>
      </c>
    </row>
    <row r="133" spans="4:6" x14ac:dyDescent="0.25">
      <c r="D133">
        <v>12.5</v>
      </c>
      <c r="E133" s="16">
        <v>4.7639639893685803E-2</v>
      </c>
      <c r="F133" s="16">
        <v>4.7381580366891107E-2</v>
      </c>
    </row>
    <row r="134" spans="4:6" x14ac:dyDescent="0.25">
      <c r="D134">
        <v>12.6</v>
      </c>
      <c r="E134" s="16">
        <v>4.7793069784189512E-2</v>
      </c>
      <c r="F134" s="16">
        <v>4.7326707289431447E-2</v>
      </c>
    </row>
    <row r="135" spans="4:6" x14ac:dyDescent="0.25">
      <c r="D135">
        <v>12.7</v>
      </c>
      <c r="E135" s="16">
        <v>4.794650549060897E-2</v>
      </c>
      <c r="F135" s="16">
        <v>4.727167918223163E-2</v>
      </c>
    </row>
    <row r="136" spans="4:6" x14ac:dyDescent="0.25">
      <c r="D136">
        <v>12.8</v>
      </c>
      <c r="E136" s="16">
        <v>4.7706610218448908E-2</v>
      </c>
      <c r="F136" s="16">
        <v>4.7216622078957826E-2</v>
      </c>
    </row>
    <row r="137" spans="4:6" x14ac:dyDescent="0.25">
      <c r="D137">
        <v>12.9</v>
      </c>
      <c r="E137" s="16">
        <v>4.7064413534291027E-2</v>
      </c>
      <c r="F137" s="16">
        <v>4.7161246313161875E-2</v>
      </c>
    </row>
    <row r="138" spans="4:6" x14ac:dyDescent="0.25">
      <c r="D138">
        <v>13</v>
      </c>
      <c r="E138" s="16">
        <v>4.6410266867702887E-2</v>
      </c>
      <c r="F138" s="16">
        <v>4.7104830762101813E-2</v>
      </c>
    </row>
    <row r="139" spans="4:6" x14ac:dyDescent="0.25">
      <c r="D139">
        <v>13.1</v>
      </c>
      <c r="E139" s="16">
        <v>4.6533519494067477E-2</v>
      </c>
      <c r="F139" s="16">
        <v>4.7046754060690255E-2</v>
      </c>
    </row>
    <row r="140" spans="4:6" x14ac:dyDescent="0.25">
      <c r="D140">
        <v>13.2</v>
      </c>
      <c r="E140" s="16">
        <v>4.6656775874676981E-2</v>
      </c>
      <c r="F140" s="16">
        <v>4.6986952683506722E-2</v>
      </c>
    </row>
    <row r="141" spans="4:6" x14ac:dyDescent="0.25">
      <c r="D141">
        <v>13.3</v>
      </c>
      <c r="E141" s="16">
        <v>4.6780036009643311E-2</v>
      </c>
      <c r="F141" s="16">
        <v>4.6925504755559011E-2</v>
      </c>
    </row>
    <row r="142" spans="4:6" x14ac:dyDescent="0.25">
      <c r="D142">
        <v>13.4</v>
      </c>
      <c r="E142" s="16">
        <v>4.6903299899081929E-2</v>
      </c>
      <c r="F142" s="16">
        <v>4.6862488399190383E-2</v>
      </c>
    </row>
    <row r="143" spans="4:6" x14ac:dyDescent="0.25">
      <c r="D143">
        <v>13.5</v>
      </c>
      <c r="E143" s="16">
        <v>4.7026567543106523E-2</v>
      </c>
      <c r="F143" s="16">
        <v>4.6797981733769589E-2</v>
      </c>
    </row>
    <row r="144" spans="4:6" x14ac:dyDescent="0.25">
      <c r="D144">
        <v>13.6</v>
      </c>
      <c r="E144" s="16">
        <v>4.7149838941834332E-2</v>
      </c>
      <c r="F144" s="16">
        <v>4.6732062875390668E-2</v>
      </c>
    </row>
    <row r="145" spans="4:6" x14ac:dyDescent="0.25">
      <c r="D145">
        <v>13.7</v>
      </c>
      <c r="E145" s="16">
        <v>4.727311409537549E-2</v>
      </c>
      <c r="F145" s="16">
        <v>4.6664809936600271E-2</v>
      </c>
    </row>
    <row r="146" spans="4:6" x14ac:dyDescent="0.25">
      <c r="D146">
        <v>13.8</v>
      </c>
      <c r="E146" s="16">
        <v>4.7031326595390333E-2</v>
      </c>
      <c r="F146" s="16">
        <v>4.6596290507426197E-2</v>
      </c>
    </row>
    <row r="147" spans="4:6" x14ac:dyDescent="0.25">
      <c r="D147">
        <v>13.9</v>
      </c>
      <c r="E147" s="16">
        <v>4.6416748382605455E-2</v>
      </c>
      <c r="F147" s="16">
        <v>4.652632822717262E-2</v>
      </c>
    </row>
    <row r="148" spans="4:6" x14ac:dyDescent="0.25">
      <c r="D148">
        <v>14</v>
      </c>
      <c r="E148" s="16">
        <v>4.5791873787708326E-2</v>
      </c>
      <c r="F148" s="16">
        <v>4.6454494196406237E-2</v>
      </c>
    </row>
    <row r="149" spans="4:6" x14ac:dyDescent="0.25">
      <c r="D149">
        <v>14.1</v>
      </c>
      <c r="E149" s="16">
        <v>4.5889132625146267E-2</v>
      </c>
      <c r="F149" s="16">
        <v>4.6380419176172083E-2</v>
      </c>
    </row>
    <row r="150" spans="4:6" x14ac:dyDescent="0.25">
      <c r="D150">
        <v>14.2</v>
      </c>
      <c r="E150" s="16">
        <v>4.5986393800638403E-2</v>
      </c>
      <c r="F150" s="16">
        <v>4.63040621477111E-2</v>
      </c>
    </row>
    <row r="151" spans="4:6" x14ac:dyDescent="0.25">
      <c r="D151">
        <v>14.3</v>
      </c>
      <c r="E151" s="16">
        <v>4.6083657314241577E-2</v>
      </c>
      <c r="F151" s="16">
        <v>4.6225465342798699E-2</v>
      </c>
    </row>
    <row r="152" spans="4:6" x14ac:dyDescent="0.25">
      <c r="D152">
        <v>14.4</v>
      </c>
      <c r="E152" s="16">
        <v>4.6180923166010857E-2</v>
      </c>
      <c r="F152" s="16">
        <v>4.6144670993702341E-2</v>
      </c>
    </row>
    <row r="153" spans="4:6" x14ac:dyDescent="0.25">
      <c r="D153">
        <v>14.5</v>
      </c>
      <c r="E153" s="16">
        <v>4.6278191356003084E-2</v>
      </c>
      <c r="F153" s="16">
        <v>4.6061721332958605E-2</v>
      </c>
    </row>
    <row r="154" spans="4:6" x14ac:dyDescent="0.25">
      <c r="D154">
        <v>14.6</v>
      </c>
      <c r="E154" s="16">
        <v>4.6375461884275992E-2</v>
      </c>
      <c r="F154" s="16">
        <v>4.5976658593136044E-2</v>
      </c>
    </row>
    <row r="155" spans="4:6" x14ac:dyDescent="0.25">
      <c r="D155">
        <v>14.7</v>
      </c>
      <c r="E155" s="16">
        <v>4.6472734750882871E-2</v>
      </c>
      <c r="F155" s="16">
        <v>4.5889525006622911E-2</v>
      </c>
    </row>
    <row r="156" spans="4:6" x14ac:dyDescent="0.25">
      <c r="D156">
        <v>14.8</v>
      </c>
      <c r="E156" s="16">
        <v>4.621061450718944E-2</v>
      </c>
      <c r="F156" s="16">
        <v>4.5800351268566963E-2</v>
      </c>
    </row>
    <row r="157" spans="4:6" x14ac:dyDescent="0.25">
      <c r="D157">
        <v>14.9</v>
      </c>
      <c r="E157" s="16">
        <v>4.5582008388452167E-2</v>
      </c>
      <c r="F157" s="16">
        <v>4.5708900663791852E-2</v>
      </c>
    </row>
    <row r="158" spans="4:6" x14ac:dyDescent="0.25">
      <c r="D158">
        <v>15</v>
      </c>
      <c r="E158" s="16">
        <v>4.4943951292463424E-2</v>
      </c>
      <c r="F158" s="16">
        <v>4.5614660282485175E-2</v>
      </c>
    </row>
    <row r="159" spans="4:6" x14ac:dyDescent="0.25">
      <c r="D159">
        <v>15.1</v>
      </c>
      <c r="E159" s="16">
        <v>4.5017317682384039E-2</v>
      </c>
      <c r="F159" s="16">
        <v>4.5517183686124341E-2</v>
      </c>
    </row>
    <row r="160" spans="4:6" x14ac:dyDescent="0.25">
      <c r="D160">
        <v>15.2</v>
      </c>
      <c r="E160" s="16">
        <v>4.5090685403010866E-2</v>
      </c>
      <c r="F160" s="16">
        <v>4.5416385045067287E-2</v>
      </c>
    </row>
    <row r="161" spans="4:6" x14ac:dyDescent="0.25">
      <c r="D161">
        <v>15.3</v>
      </c>
      <c r="E161" s="16">
        <v>4.5164054454366109E-2</v>
      </c>
      <c r="F161" s="16">
        <v>4.5312269910021463E-2</v>
      </c>
    </row>
    <row r="162" spans="4:6" x14ac:dyDescent="0.25">
      <c r="D162">
        <v>15.4</v>
      </c>
      <c r="E162" s="16">
        <v>4.5237424836475526E-2</v>
      </c>
      <c r="F162" s="16">
        <v>4.520484383931489E-2</v>
      </c>
    </row>
    <row r="163" spans="4:6" x14ac:dyDescent="0.25">
      <c r="D163">
        <v>15.5</v>
      </c>
      <c r="E163" s="16">
        <v>4.5310796549362209E-2</v>
      </c>
      <c r="F163" s="16">
        <v>4.5094112398847308E-2</v>
      </c>
    </row>
    <row r="164" spans="4:6" x14ac:dyDescent="0.25">
      <c r="D164">
        <v>15.6</v>
      </c>
      <c r="E164" s="16">
        <v>4.5384169593050139E-2</v>
      </c>
      <c r="F164" s="16">
        <v>4.4980081162050212E-2</v>
      </c>
    </row>
    <row r="165" spans="4:6" x14ac:dyDescent="0.25">
      <c r="D165">
        <v>15.7</v>
      </c>
      <c r="E165" s="16">
        <v>4.5457543967563296E-2</v>
      </c>
      <c r="F165" s="16">
        <v>4.486275570984688E-2</v>
      </c>
    </row>
    <row r="166" spans="4:6" x14ac:dyDescent="0.25">
      <c r="D166">
        <v>15.8</v>
      </c>
      <c r="E166" s="16">
        <v>4.5157139580397576E-2</v>
      </c>
      <c r="F166" s="16">
        <v>4.4742142181609879E-2</v>
      </c>
    </row>
    <row r="167" spans="4:6" x14ac:dyDescent="0.25">
      <c r="D167">
        <v>15.9</v>
      </c>
      <c r="E167" s="16">
        <v>4.4476054645206986E-2</v>
      </c>
      <c r="F167" s="16">
        <v>4.4618259489737078E-2</v>
      </c>
    </row>
    <row r="168" spans="4:6" x14ac:dyDescent="0.25">
      <c r="D168">
        <v>16</v>
      </c>
      <c r="E168" s="16">
        <v>4.3785772570418047E-2</v>
      </c>
      <c r="F168" s="16">
        <v>4.4491139712373062E-2</v>
      </c>
    </row>
    <row r="169" spans="4:6" x14ac:dyDescent="0.25">
      <c r="D169">
        <v>16.100000000000001</v>
      </c>
      <c r="E169" s="16">
        <v>4.3835838089660406E-2</v>
      </c>
      <c r="F169" s="16">
        <v>4.436081171666828E-2</v>
      </c>
    </row>
    <row r="170" spans="4:6" x14ac:dyDescent="0.25">
      <c r="D170">
        <v>16.2</v>
      </c>
      <c r="E170" s="16">
        <v>4.3885904228757155E-2</v>
      </c>
      <c r="F170" s="16">
        <v>4.4227287127947434E-2</v>
      </c>
    </row>
    <row r="171" spans="4:6" x14ac:dyDescent="0.25">
      <c r="D171">
        <v>16.3</v>
      </c>
      <c r="E171" s="16">
        <v>4.3935970987713624E-2</v>
      </c>
      <c r="F171" s="16">
        <v>4.4090573211398087E-2</v>
      </c>
    </row>
    <row r="172" spans="4:6" x14ac:dyDescent="0.25">
      <c r="D172">
        <v>16.399999999999999</v>
      </c>
      <c r="E172" s="16">
        <v>4.3986038366539582E-2</v>
      </c>
      <c r="F172" s="16">
        <v>4.3950677238832725E-2</v>
      </c>
    </row>
    <row r="173" spans="4:6" x14ac:dyDescent="0.25">
      <c r="D173">
        <v>16.5</v>
      </c>
      <c r="E173" s="16">
        <v>4.403610636524391E-2</v>
      </c>
      <c r="F173" s="16">
        <v>4.3807606488617701E-2</v>
      </c>
    </row>
    <row r="174" spans="4:6" x14ac:dyDescent="0.25">
      <c r="D174">
        <v>16.600000000000001</v>
      </c>
      <c r="E174" s="16">
        <v>4.4086174983832827E-2</v>
      </c>
      <c r="F174" s="16">
        <v>4.3661368245628829E-2</v>
      </c>
    </row>
    <row r="175" spans="4:6" x14ac:dyDescent="0.25">
      <c r="D175">
        <v>16.7</v>
      </c>
      <c r="E175" s="16">
        <v>4.4136244222312548E-2</v>
      </c>
      <c r="F175" s="16">
        <v>4.3511969801187433E-2</v>
      </c>
    </row>
    <row r="176" spans="4:6" x14ac:dyDescent="0.25">
      <c r="D176">
        <v>16.8</v>
      </c>
      <c r="E176" s="16">
        <v>4.3795428362894739E-2</v>
      </c>
      <c r="F176" s="16">
        <v>4.3359419354990436E-2</v>
      </c>
    </row>
    <row r="177" spans="4:6" x14ac:dyDescent="0.25">
      <c r="D177">
        <v>16.899999999999999</v>
      </c>
      <c r="E177" s="16">
        <v>4.3056950054471521E-2</v>
      </c>
      <c r="F177" s="16">
        <v>4.3203746000465948E-2</v>
      </c>
    </row>
    <row r="178" spans="4:6" x14ac:dyDescent="0.25">
      <c r="D178">
        <v>17</v>
      </c>
      <c r="E178" s="16">
        <v>4.230944007009807E-2</v>
      </c>
      <c r="F178" s="16">
        <v>4.3045000328944205E-2</v>
      </c>
    </row>
    <row r="179" spans="4:6" x14ac:dyDescent="0.25">
      <c r="D179">
        <v>17.100000000000001</v>
      </c>
      <c r="E179" s="16">
        <v>4.2336570775976412E-2</v>
      </c>
      <c r="F179" s="16">
        <v>4.288322760698815E-2</v>
      </c>
    </row>
    <row r="180" spans="4:6" x14ac:dyDescent="0.25">
      <c r="D180">
        <v>17.2</v>
      </c>
      <c r="E180" s="16">
        <v>4.2363701663945541E-2</v>
      </c>
      <c r="F180" s="16">
        <v>4.2718444834510372E-2</v>
      </c>
    </row>
    <row r="181" spans="4:6" x14ac:dyDescent="0.25">
      <c r="D181">
        <v>17.3</v>
      </c>
      <c r="E181" s="16">
        <v>4.2390832734010786E-2</v>
      </c>
      <c r="F181" s="16">
        <v>4.2550661864546591E-2</v>
      </c>
    </row>
    <row r="182" spans="4:6" x14ac:dyDescent="0.25">
      <c r="D182">
        <v>17.399999999999999</v>
      </c>
      <c r="E182" s="16">
        <v>4.2417963986170371E-2</v>
      </c>
      <c r="F182" s="16">
        <v>4.2379888555251988E-2</v>
      </c>
    </row>
    <row r="183" spans="4:6" x14ac:dyDescent="0.25">
      <c r="D183">
        <v>17.5</v>
      </c>
      <c r="E183" s="16">
        <v>4.2445095420426071E-2</v>
      </c>
      <c r="F183" s="16">
        <v>4.2206134769826598E-2</v>
      </c>
    </row>
    <row r="184" spans="4:6" x14ac:dyDescent="0.25">
      <c r="D184">
        <v>17.600000000000001</v>
      </c>
      <c r="E184" s="16">
        <v>4.2472227036780552E-2</v>
      </c>
      <c r="F184" s="16">
        <v>4.2029410376448695E-2</v>
      </c>
    </row>
    <row r="185" spans="4:6" x14ac:dyDescent="0.25">
      <c r="D185">
        <v>17.7</v>
      </c>
      <c r="E185" s="16">
        <v>4.2499358835232037E-2</v>
      </c>
      <c r="F185" s="16">
        <v>4.1849725248200187E-2</v>
      </c>
    </row>
    <row r="186" spans="4:6" x14ac:dyDescent="0.25">
      <c r="D186">
        <v>17.8</v>
      </c>
      <c r="E186" s="16">
        <v>4.2121465674500591E-2</v>
      </c>
      <c r="F186" s="16">
        <v>4.1667090359014836E-2</v>
      </c>
    </row>
    <row r="187" spans="4:6" x14ac:dyDescent="0.25">
      <c r="D187">
        <v>17.899999999999999</v>
      </c>
      <c r="E187" s="16">
        <v>4.1331931062522642E-2</v>
      </c>
      <c r="F187" s="16">
        <v>4.1481542058603438E-2</v>
      </c>
    </row>
    <row r="188" spans="4:6" x14ac:dyDescent="0.25">
      <c r="D188">
        <v>18</v>
      </c>
      <c r="E188" s="16">
        <v>4.053357900686283E-2</v>
      </c>
      <c r="F188" s="16">
        <v>4.1293142764692092E-2</v>
      </c>
    </row>
    <row r="189" spans="4:6" x14ac:dyDescent="0.25">
      <c r="D189">
        <v>18.100000000000001</v>
      </c>
      <c r="E189" s="16">
        <v>4.0538268577980929E-2</v>
      </c>
      <c r="F189" s="16">
        <v>4.1101948353831297E-2</v>
      </c>
    </row>
    <row r="190" spans="4:6" x14ac:dyDescent="0.25">
      <c r="D190">
        <v>18.2</v>
      </c>
      <c r="E190" s="16">
        <v>4.0542958154541786E-2</v>
      </c>
      <c r="F190" s="16">
        <v>4.0907980311887471E-2</v>
      </c>
    </row>
    <row r="191" spans="4:6" x14ac:dyDescent="0.25">
      <c r="D191">
        <v>18.3</v>
      </c>
      <c r="E191" s="16">
        <v>4.05476477365454E-2</v>
      </c>
      <c r="F191" s="16">
        <v>4.0711251433187101E-2</v>
      </c>
    </row>
    <row r="192" spans="4:6" x14ac:dyDescent="0.25">
      <c r="D192">
        <v>18.399999999999999</v>
      </c>
      <c r="E192" s="16">
        <v>4.0552337323991772E-2</v>
      </c>
      <c r="F192" s="16">
        <v>4.0511774515323395E-2</v>
      </c>
    </row>
    <row r="193" spans="4:6" x14ac:dyDescent="0.25">
      <c r="D193">
        <v>18.5</v>
      </c>
      <c r="E193" s="16">
        <v>4.0557026916880901E-2</v>
      </c>
      <c r="F193" s="16">
        <v>4.030956235905947E-2</v>
      </c>
    </row>
    <row r="194" spans="4:6" x14ac:dyDescent="0.25">
      <c r="D194">
        <v>18.600000000000001</v>
      </c>
      <c r="E194" s="16">
        <v>4.0561716515213675E-2</v>
      </c>
      <c r="F194" s="16">
        <v>4.0104627768255519E-2</v>
      </c>
    </row>
    <row r="195" spans="4:6" x14ac:dyDescent="0.25">
      <c r="D195">
        <v>18.7</v>
      </c>
      <c r="E195" s="16">
        <v>4.0566406118988318E-2</v>
      </c>
      <c r="F195" s="16">
        <v>3.9896983549771114E-2</v>
      </c>
    </row>
    <row r="196" spans="4:6" x14ac:dyDescent="0.25">
      <c r="D196">
        <v>18.8</v>
      </c>
      <c r="E196" s="16">
        <v>4.0155648792573828E-2</v>
      </c>
      <c r="F196" s="16">
        <v>3.9686643683603862E-2</v>
      </c>
    </row>
    <row r="197" spans="4:6" x14ac:dyDescent="0.25">
      <c r="D197">
        <v>18.899999999999999</v>
      </c>
      <c r="E197" s="16">
        <v>3.9323030440403528E-2</v>
      </c>
      <c r="F197" s="16">
        <v>3.9473649231656083E-2</v>
      </c>
    </row>
    <row r="198" spans="4:6" x14ac:dyDescent="0.25">
      <c r="D198">
        <v>19</v>
      </c>
      <c r="E198" s="16">
        <v>3.8481864436568536E-2</v>
      </c>
      <c r="F198" s="16">
        <v>3.9258069036764986E-2</v>
      </c>
    </row>
    <row r="199" spans="4:6" x14ac:dyDescent="0.25">
      <c r="D199">
        <v>19.100000000000001</v>
      </c>
      <c r="E199" s="16">
        <v>3.8464753577435395E-2</v>
      </c>
      <c r="F199" s="16">
        <v>3.9039964890569934E-2</v>
      </c>
    </row>
    <row r="200" spans="4:6" x14ac:dyDescent="0.25">
      <c r="D200">
        <v>19.2</v>
      </c>
      <c r="E200" s="16">
        <v>3.8447642790798042E-2</v>
      </c>
      <c r="F200" s="16">
        <v>3.8819361825354726E-2</v>
      </c>
    </row>
    <row r="201" spans="4:6" x14ac:dyDescent="0.25">
      <c r="D201">
        <v>19.3</v>
      </c>
      <c r="E201" s="16">
        <v>3.8430532076660029E-2</v>
      </c>
      <c r="F201" s="16">
        <v>3.8596275587211792E-2</v>
      </c>
    </row>
    <row r="202" spans="4:6" x14ac:dyDescent="0.25">
      <c r="D202">
        <v>19.399999999999999</v>
      </c>
      <c r="E202" s="16">
        <v>3.8413421435017803E-2</v>
      </c>
      <c r="F202" s="16">
        <v>3.8370721923448592E-2</v>
      </c>
    </row>
    <row r="203" spans="4:6" x14ac:dyDescent="0.25">
      <c r="D203">
        <v>19.5</v>
      </c>
      <c r="E203" s="16">
        <v>3.8396310865874028E-2</v>
      </c>
      <c r="F203" s="16">
        <v>3.8142716582481029E-2</v>
      </c>
    </row>
    <row r="204" spans="4:6" x14ac:dyDescent="0.25">
      <c r="D204">
        <v>19.600000000000001</v>
      </c>
      <c r="E204" s="16">
        <v>3.8379200369226041E-2</v>
      </c>
      <c r="F204" s="16">
        <v>3.7912275313750854E-2</v>
      </c>
    </row>
    <row r="205" spans="4:6" x14ac:dyDescent="0.25">
      <c r="D205">
        <v>19.7</v>
      </c>
      <c r="E205" s="16">
        <v>3.8362089945074729E-2</v>
      </c>
      <c r="F205" s="16">
        <v>3.7679413867627076E-2</v>
      </c>
    </row>
    <row r="206" spans="4:6" x14ac:dyDescent="0.25">
      <c r="D206">
        <v>19.8</v>
      </c>
      <c r="E206" s="16">
        <v>3.7932505795243543E-2</v>
      </c>
      <c r="F206" s="16">
        <v>3.7444172144024179E-2</v>
      </c>
    </row>
    <row r="207" spans="4:6" x14ac:dyDescent="0.25">
      <c r="D207">
        <v>19.899999999999999</v>
      </c>
      <c r="E207" s="16">
        <v>3.7084409476056734E-2</v>
      </c>
      <c r="F207" s="16">
        <v>3.7207148677531166E-2</v>
      </c>
    </row>
    <row r="208" spans="4:6" x14ac:dyDescent="0.25">
      <c r="D208">
        <v>20</v>
      </c>
      <c r="E208" s="16">
        <v>3.6228266265573517E-2</v>
      </c>
      <c r="F208" s="16">
        <v>3.6969514321228303E-2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5ED48-742F-4278-8770-CCF7080D75A2}">
  <sheetPr codeName="Feuil4"/>
  <dimension ref="C11:J13"/>
  <sheetViews>
    <sheetView workbookViewId="0">
      <selection activeCell="F25" sqref="F25"/>
    </sheetView>
  </sheetViews>
  <sheetFormatPr baseColWidth="10" defaultRowHeight="15" x14ac:dyDescent="0.25"/>
  <sheetData>
    <row r="11" spans="3:10" x14ac:dyDescent="0.25">
      <c r="D11">
        <v>-100</v>
      </c>
      <c r="E11">
        <v>-50</v>
      </c>
      <c r="F11">
        <v>-25</v>
      </c>
      <c r="G11">
        <v>0</v>
      </c>
      <c r="H11">
        <v>25</v>
      </c>
      <c r="I11">
        <v>50</v>
      </c>
      <c r="J11">
        <v>100</v>
      </c>
    </row>
    <row r="12" spans="3:10" x14ac:dyDescent="0.25">
      <c r="C12" t="s">
        <v>16</v>
      </c>
      <c r="D12" s="17">
        <f>$G$12+D$11/100/100</f>
        <v>2.9031999999999995E-2</v>
      </c>
      <c r="E12" s="17">
        <f>$G$12+E$11/100/100</f>
        <v>3.4032E-2</v>
      </c>
      <c r="F12" s="17">
        <f>$G$12+F$11/100/100</f>
        <v>3.6531999999999995E-2</v>
      </c>
      <c r="G12" s="17">
        <v>3.9031999999999997E-2</v>
      </c>
      <c r="H12" s="17">
        <f>$G$12+H$11/100/100</f>
        <v>4.1531999999999999E-2</v>
      </c>
      <c r="I12" s="17">
        <f t="shared" ref="I12:J12" si="0">$G$12+I$11/100/100</f>
        <v>4.4031999999999995E-2</v>
      </c>
      <c r="J12" s="17">
        <f t="shared" si="0"/>
        <v>4.9031999999999999E-2</v>
      </c>
    </row>
    <row r="13" spans="3:10" x14ac:dyDescent="0.25">
      <c r="C13" t="s">
        <v>17</v>
      </c>
      <c r="G13" s="17">
        <v>7.1370000000000001E-3</v>
      </c>
      <c r="H13" s="17"/>
      <c r="I13" s="1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BC45CE-5C8A-4789-BDBA-C42A3F48B857}">
  <sheetPr codeName="Feuil5"/>
  <dimension ref="A1"/>
  <sheetViews>
    <sheetView workbookViewId="0">
      <selection activeCell="F21" sqref="F21"/>
    </sheetView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5ED60-985B-4517-A503-972DDBE93834}">
  <dimension ref="E9:J16"/>
  <sheetViews>
    <sheetView tabSelected="1" topLeftCell="D1" workbookViewId="0">
      <selection activeCell="G11" sqref="G11"/>
    </sheetView>
  </sheetViews>
  <sheetFormatPr baseColWidth="10" defaultRowHeight="15" x14ac:dyDescent="0.25"/>
  <sheetData>
    <row r="9" spans="5:10" x14ac:dyDescent="0.25">
      <c r="E9" t="s">
        <v>18</v>
      </c>
      <c r="F9" t="s">
        <v>19</v>
      </c>
      <c r="G9" t="s">
        <v>20</v>
      </c>
      <c r="H9" t="s">
        <v>21</v>
      </c>
      <c r="I9" t="s">
        <v>22</v>
      </c>
      <c r="J9" t="s">
        <v>23</v>
      </c>
    </row>
    <row r="10" spans="5:10" x14ac:dyDescent="0.25">
      <c r="E10">
        <v>-100</v>
      </c>
      <c r="F10" s="18">
        <v>0.312</v>
      </c>
      <c r="G10" s="18">
        <v>2.9032004511713179E-2</v>
      </c>
      <c r="H10" s="18">
        <v>1.251434350172626E-2</v>
      </c>
      <c r="I10" s="18">
        <v>1.2015101265161122E-2</v>
      </c>
      <c r="J10" s="18">
        <v>0.28865951601564871</v>
      </c>
    </row>
    <row r="11" spans="5:10" x14ac:dyDescent="0.25">
      <c r="E11">
        <v>-50</v>
      </c>
      <c r="F11" s="18">
        <v>0.28399999999999997</v>
      </c>
      <c r="G11" s="18">
        <v>3.4032004511713183E-2</v>
      </c>
      <c r="H11" s="18">
        <v>9.8060784986556803E-3</v>
      </c>
      <c r="I11" s="18">
        <v>9.3884586731890624E-3</v>
      </c>
      <c r="J11" s="18">
        <v>0.26737670665085317</v>
      </c>
    </row>
    <row r="12" spans="5:10" x14ac:dyDescent="0.25">
      <c r="E12">
        <v>-25</v>
      </c>
      <c r="F12" s="18">
        <v>0.26600000000000001</v>
      </c>
      <c r="G12" s="18">
        <v>3.6532004511713179E-2</v>
      </c>
      <c r="H12" s="18">
        <v>8.4206096924255413E-3</v>
      </c>
      <c r="I12" s="18">
        <v>8.2149658427414576E-3</v>
      </c>
      <c r="J12" s="18">
        <v>0.25827855030000219</v>
      </c>
    </row>
    <row r="13" spans="5:10" x14ac:dyDescent="0.25">
      <c r="E13">
        <v>0</v>
      </c>
      <c r="F13" s="18">
        <v>0.25</v>
      </c>
      <c r="G13" s="18">
        <v>3.9032004511713181E-2</v>
      </c>
      <c r="H13" s="18">
        <v>7.1372027814056802E-3</v>
      </c>
      <c r="I13" s="18">
        <v>7.1372113236833059E-3</v>
      </c>
      <c r="J13" s="18">
        <v>0.25000029304921628</v>
      </c>
    </row>
    <row r="14" spans="5:10" x14ac:dyDescent="0.25">
      <c r="E14">
        <v>25</v>
      </c>
      <c r="F14" s="18">
        <v>0.24399999999999999</v>
      </c>
      <c r="G14" s="18">
        <v>4.1532004511713183E-2</v>
      </c>
      <c r="H14" s="18">
        <v>6.2004825814295315E-3</v>
      </c>
      <c r="I14" s="18">
        <v>6.1554961734698529E-3</v>
      </c>
      <c r="J14" s="18">
        <v>0.24242500227987762</v>
      </c>
    </row>
    <row r="15" spans="5:10" x14ac:dyDescent="0.25">
      <c r="E15">
        <v>50</v>
      </c>
      <c r="F15" s="18">
        <v>0.25</v>
      </c>
      <c r="G15" s="18">
        <v>4.4032004511713178E-2</v>
      </c>
      <c r="H15" s="18">
        <v>5.6888785860300497E-3</v>
      </c>
      <c r="I15" s="18">
        <v>5.2688368899893598E-3</v>
      </c>
      <c r="J15" s="18">
        <v>0.23545809487998481</v>
      </c>
    </row>
    <row r="16" spans="5:10" x14ac:dyDescent="0.25">
      <c r="E16">
        <v>100</v>
      </c>
      <c r="F16" s="18">
        <v>0.27200000000000002</v>
      </c>
      <c r="G16" s="18">
        <v>4.9032004511713183E-2</v>
      </c>
      <c r="H16" s="18">
        <v>5.1720387453968149E-3</v>
      </c>
      <c r="I16" s="18">
        <v>3.770665600209945E-3</v>
      </c>
      <c r="J16" s="18">
        <v>0.22305250954329964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Interpo</vt:lpstr>
      <vt:lpstr>ZC</vt:lpstr>
      <vt:lpstr>fwd</vt:lpstr>
      <vt:lpstr>swopt</vt:lpstr>
      <vt:lpstr>dicho</vt:lpstr>
      <vt:lpstr>HW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MOUSIS  Nicolas</dc:creator>
  <cp:lastModifiedBy>KOUGOUM MOKO MANI Marilene</cp:lastModifiedBy>
  <dcterms:created xsi:type="dcterms:W3CDTF">2025-02-11T10:35:01Z</dcterms:created>
  <dcterms:modified xsi:type="dcterms:W3CDTF">2025-03-04T09:35:56Z</dcterms:modified>
</cp:coreProperties>
</file>